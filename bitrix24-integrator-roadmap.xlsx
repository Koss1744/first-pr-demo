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рожная карта" sheetId="1" state="visible" r:id="rId1"/>
    <sheet name="Чеклист" sheetId="2" state="visible" r:id="rId2"/>
    <sheet name="План по неделям" sheetId="3" state="visible" r:id="rId3"/>
    <sheet name="Ресурсы и риски" sheetId="4" state="visible" r:id="rId4"/>
  </sheets>
  <definedNames>
    <definedName name="_xlnm._FilterDatabase" localSheetId="1" hidden="1">'Чеклист'!$A$1:$G$48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color rgb="000000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5" fillId="0" borderId="0" pivotButton="0" quotePrefix="0" xfId="0"/>
    <xf numFmtId="9" fontId="5" fillId="0" borderId="0" pivotButton="0" quotePrefix="0" xfId="0"/>
    <xf numFmtId="0" fontId="6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7" fillId="0" borderId="0" pivotButton="0" quotePrefix="0" xfId="0"/>
    <xf numFmtId="49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70" customWidth="1" min="4" max="4"/>
    <col width="38" customWidth="1" min="5" max="5"/>
    <col width="12" customWidth="1" min="6" max="6"/>
    <col width="11" customWidth="1" min="7" max="7"/>
    <col width="10" customWidth="1" min="8" max="8"/>
  </cols>
  <sheetData>
    <row r="1">
      <c r="A1" s="1" t="inlineStr">
        <is>
          <t>Дорожная карта: как стать интегратором Битрикс24</t>
        </is>
      </c>
    </row>
    <row r="2">
      <c r="A2" s="2" t="inlineStr">
        <is>
          <t>Полигон: оплаченный Битрикс24 компании + тестовый портал. Прогресс этапа считается автоматически из листа «Чеклист».</t>
        </is>
      </c>
    </row>
    <row r="4">
      <c r="A4" s="3" t="inlineStr">
        <is>
          <t>№</t>
        </is>
      </c>
      <c r="B4" s="3" t="inlineStr">
        <is>
          <t>Этап</t>
        </is>
      </c>
      <c r="C4" s="3" t="inlineStr">
        <is>
          <t>Срок</t>
        </is>
      </c>
      <c r="D4" s="3" t="inlineStr">
        <is>
          <t>Что изучаем и делаем</t>
        </is>
      </c>
      <c r="E4" s="3" t="inlineStr">
        <is>
          <t>Результат</t>
        </is>
      </c>
      <c r="F4" s="3" t="inlineStr">
        <is>
          <t>Пунктов в чеклисте</t>
        </is>
      </c>
      <c r="G4" s="3" t="inlineStr">
        <is>
          <t>Выполнено</t>
        </is>
      </c>
      <c r="H4" s="3" t="inlineStr">
        <is>
          <t>Прогресс</t>
        </is>
      </c>
    </row>
    <row r="5">
      <c r="A5" s="4" t="n">
        <v>0</v>
      </c>
      <c r="B5" s="4" t="inlineStr">
        <is>
          <t>Подготовка</t>
        </is>
      </c>
      <c r="C5" s="4" t="inlineStr">
        <is>
          <t>1 нед</t>
        </is>
      </c>
      <c r="D5" s="4" t="inlineStr">
        <is>
          <t>Права администратора; проверить тариф и лимиты; тестовый портал; аккаунты в Академии и partners.bitrix24.ru; сообщества</t>
        </is>
      </c>
      <c r="E5" s="4" t="inlineStr">
        <is>
          <t>Тестовый портал, документ «текущее состояние»</t>
        </is>
      </c>
      <c r="F5" s="4">
        <f>COUNTIF('Чеклист'!$A:$A,A5)</f>
        <v/>
      </c>
      <c r="G5" s="4">
        <f>COUNTIFS('Чеклист'!$A:$A,A5,'Чеклист'!$E:$E,"Готово")</f>
        <v/>
      </c>
      <c r="H5" s="5">
        <f>IF(F5=0,0,G5/F5)</f>
        <v/>
      </c>
    </row>
    <row r="6">
      <c r="A6" s="4" t="n">
        <v>1</v>
      </c>
      <c r="B6" s="4" t="inlineStr">
        <is>
          <t>Продукт глазами пользователя</t>
        </is>
      </c>
      <c r="C6" s="4" t="inlineStr">
        <is>
          <t>3-4 нед</t>
        </is>
      </c>
      <c r="D6" s="4" t="inlineStr">
        <is>
          <t>Задачи и проекты, CRM, чат/видео/календарь/диск, открытые линии, сайты и формы, HR, аналитика, мобильное приложение</t>
        </is>
      </c>
      <c r="E6" s="4" t="inlineStr">
        <is>
          <t>Пройдены все модули, список идей улучшений</t>
        </is>
      </c>
      <c r="F6" s="4">
        <f>COUNTIF('Чеклист'!$A:$A,A6)</f>
        <v/>
      </c>
      <c r="G6" s="4">
        <f>COUNTIFS('Чеклист'!$A:$A,A6,'Чеклист'!$E:$E,"Готово")</f>
        <v/>
      </c>
      <c r="H6" s="5">
        <f>IF(F6=0,0,G6/F6)</f>
        <v/>
      </c>
    </row>
    <row r="7">
      <c r="A7" s="4" t="n">
        <v>2</v>
      </c>
      <c r="B7" s="4" t="inlineStr">
        <is>
          <t>Администрирование</t>
        </is>
      </c>
      <c r="C7" s="4" t="inlineStr">
        <is>
          <t>3-4 нед</t>
        </is>
      </c>
      <c r="D7" s="4" t="inlineStr">
        <is>
          <t>Структура и роли, права доступа, группы и экстранет, безопасность (2FA, IP, журнал), импорт/экспорт, тарифы и Маркет</t>
        </is>
      </c>
      <c r="E7" s="4" t="inlineStr">
        <is>
          <t>Чистая структура и права на портале</t>
        </is>
      </c>
      <c r="F7" s="4">
        <f>COUNTIF('Чеклист'!$A:$A,A7)</f>
        <v/>
      </c>
      <c r="G7" s="4">
        <f>COUNTIFS('Чеклист'!$A:$A,A7,'Чеклист'!$E:$E,"Готово")</f>
        <v/>
      </c>
      <c r="H7" s="5">
        <f>IF(F7=0,0,G7/F7)</f>
        <v/>
      </c>
    </row>
    <row r="8">
      <c r="A8" s="4" t="n">
        <v>3</v>
      </c>
      <c r="B8" s="4" t="inlineStr">
        <is>
          <t>Автоматизация без кода</t>
        </is>
      </c>
      <c r="C8" s="4" t="inlineStr">
        <is>
          <t>4-6 нед</t>
        </is>
      </c>
      <c r="D8" s="4" t="inlineStr">
        <is>
          <t>Воронки и поля, роботы и триггеры, бизнес-процессы, смарт-процессы, шаблоны документов, SLA, отчёты и BI</t>
        </is>
      </c>
      <c r="E8" s="4" t="inlineStr">
        <is>
          <t>3 автоматизированных процесса</t>
        </is>
      </c>
      <c r="F8" s="4">
        <f>COUNTIF('Чеклист'!$A:$A,A8)</f>
        <v/>
      </c>
      <c r="G8" s="4">
        <f>COUNTIFS('Чеклист'!$A:$A,A8,'Чеклист'!$E:$E,"Готово")</f>
        <v/>
      </c>
      <c r="H8" s="5">
        <f>IF(F8=0,0,G8/F8)</f>
        <v/>
      </c>
    </row>
    <row r="9">
      <c r="A9" s="4" t="n">
        <v>4</v>
      </c>
      <c r="B9" s="4" t="inlineStr">
        <is>
          <t>Интеграции</t>
        </is>
      </c>
      <c r="C9" s="4" t="inlineStr">
        <is>
          <t>4 нед</t>
        </is>
      </c>
      <c r="D9" s="4" t="inlineStr">
        <is>
          <t>Почта, телефония, мессенджеры, CRM-формы, 1С, платежи, Make/n8n, Маркет vs кастом</t>
        </is>
      </c>
      <c r="E9" s="4" t="inlineStr">
        <is>
          <t>Единое окно коммуникаций</t>
        </is>
      </c>
      <c r="F9" s="4">
        <f>COUNTIF('Чеклист'!$A:$A,A9)</f>
        <v/>
      </c>
      <c r="G9" s="4">
        <f>COUNTIFS('Чеклист'!$A:$A,A9,'Чеклист'!$E:$E,"Готово")</f>
        <v/>
      </c>
      <c r="H9" s="5">
        <f>IF(F9=0,0,G9/F9)</f>
        <v/>
      </c>
    </row>
    <row r="10">
      <c r="A10" s="4" t="n">
        <v>5</v>
      </c>
      <c r="B10" s="4" t="inlineStr">
        <is>
          <t>Разработка (REST API)</t>
        </is>
      </c>
      <c r="C10" s="4" t="inlineStr">
        <is>
          <t>6-8 нед</t>
        </is>
      </c>
      <c r="D10" s="4" t="inlineStr">
        <is>
          <t>Вебхуки, REST (crm.*, tasks.*, bizproc.*), OAuth, локальные приложения, роботы БП, placement, event.bind, batch и лимиты</t>
        </is>
      </c>
      <c r="E10" s="4" t="inlineStr">
        <is>
          <t>3 dev-проекта в git</t>
        </is>
      </c>
      <c r="F10" s="4">
        <f>COUNTIF('Чеклист'!$A:$A,A10)</f>
        <v/>
      </c>
      <c r="G10" s="4">
        <f>COUNTIFS('Чеклист'!$A:$A,A10,'Чеклист'!$E:$E,"Готово")</f>
        <v/>
      </c>
      <c r="H10" s="5">
        <f>IF(F10=0,0,G10/F10)</f>
        <v/>
      </c>
    </row>
    <row r="11">
      <c r="A11" s="4" t="n">
        <v>6</v>
      </c>
      <c r="B11" s="4" t="inlineStr">
        <is>
          <t>Методология внедрения</t>
        </is>
      </c>
      <c r="C11" s="4" t="inlineStr">
        <is>
          <t>3 нед</t>
        </is>
      </c>
      <c r="D11" s="4" t="inlineStr">
        <is>
          <t>Обследование, карта процессов, ТЗ, пилот, обучение, управление изменениями, оценка и КП, приёмка</t>
        </is>
      </c>
      <c r="E11" s="4" t="inlineStr">
        <is>
          <t>Пакет шаблонов ТЗ/КП/обучения</t>
        </is>
      </c>
      <c r="F11" s="4">
        <f>COUNTIF('Чеклист'!$A:$A,A11)</f>
        <v/>
      </c>
      <c r="G11" s="4">
        <f>COUNTIFS('Чеклист'!$A:$A,A11,'Чеклист'!$E:$E,"Готово")</f>
        <v/>
      </c>
      <c r="H11" s="5">
        <f>IF(F11=0,0,G11/F11)</f>
        <v/>
      </c>
    </row>
    <row r="12">
      <c r="A12" s="4" t="n">
        <v>7</v>
      </c>
      <c r="B12" s="4" t="inlineStr">
        <is>
          <t>Сертификация и рынок</t>
        </is>
      </c>
      <c r="C12" s="4" t="inlineStr">
        <is>
          <t>постоянно</t>
        </is>
      </c>
      <c r="D12" s="4" t="inlineStr">
        <is>
          <t>Сертификаты Академии, статус партнёра, портфолио, отзывы, первые платные проекты</t>
        </is>
      </c>
      <c r="E12" s="4" t="inlineStr">
        <is>
          <t>Статус интегратора, первый клиент</t>
        </is>
      </c>
      <c r="F12" s="4">
        <f>COUNTIF('Чеклист'!$A:$A,A12)</f>
        <v/>
      </c>
      <c r="G12" s="4">
        <f>COUNTIFS('Чеклист'!$A:$A,A12,'Чеклист'!$E:$E,"Готово")</f>
        <v/>
      </c>
      <c r="H12" s="5">
        <f>IF(F12=0,0,G12/F12)</f>
        <v/>
      </c>
    </row>
    <row r="14">
      <c r="B14" s="6" t="inlineStr">
        <is>
          <t>Итого</t>
        </is>
      </c>
      <c r="F14" s="6">
        <f>SUM(F5:F12)</f>
        <v/>
      </c>
      <c r="G14" s="6">
        <f>SUM(G5:G12)</f>
        <v/>
      </c>
      <c r="H14" s="7">
        <f>IF(F14=0,0,G14/F14)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2" customWidth="1" min="3" max="3"/>
    <col width="28" customWidth="1" min="4" max="4"/>
    <col width="13" customWidth="1" min="5" max="5"/>
    <col width="12" customWidth="1" min="6" max="6"/>
    <col width="40" customWidth="1" min="7" max="7"/>
  </cols>
  <sheetData>
    <row r="1">
      <c r="A1" s="3" t="inlineStr">
        <is>
          <t>Этап №</t>
        </is>
      </c>
      <c r="B1" s="3" t="inlineStr">
        <is>
          <t>Блок</t>
        </is>
      </c>
      <c r="C1" s="3" t="inlineStr">
        <is>
          <t>Навык / задача</t>
        </is>
      </c>
      <c r="D1" s="3" t="inlineStr">
        <is>
          <t>Этап</t>
        </is>
      </c>
      <c r="E1" s="3" t="inlineStr">
        <is>
          <t>Статус</t>
        </is>
      </c>
      <c r="F1" s="3" t="inlineStr">
        <is>
          <t>Дата</t>
        </is>
      </c>
      <c r="G1" s="3" t="inlineStr">
        <is>
          <t>Заметки / доказательство</t>
        </is>
      </c>
    </row>
    <row r="2">
      <c r="A2" s="4" t="n">
        <v>1</v>
      </c>
      <c r="B2" s="4" t="inlineStr">
        <is>
          <t>Продукт</t>
        </is>
      </c>
      <c r="C2" s="4" t="inlineStr">
        <is>
          <t>Настраиваю задачи, шаблоны, Scrum/Канбан</t>
        </is>
      </c>
      <c r="D2" s="4">
        <f>INDEX('Дорожная карта'!$B$5:$B$12,MATCH(A2,'Дорожная карта'!$A$5:$A$12,0))</f>
        <v/>
      </c>
      <c r="E2" s="8" t="inlineStr">
        <is>
          <t>Не начато</t>
        </is>
      </c>
      <c r="F2" s="9" t="n"/>
      <c r="G2" s="4" t="n"/>
    </row>
    <row r="3">
      <c r="A3" s="4" t="n">
        <v>1</v>
      </c>
      <c r="B3" s="4" t="inlineStr">
        <is>
          <t>Продукт</t>
        </is>
      </c>
      <c r="C3" s="4" t="inlineStr">
        <is>
          <t>Знаю календарь, диск, чат, видеозвонки</t>
        </is>
      </c>
      <c r="D3" s="4">
        <f>INDEX('Дорожная карта'!$B$5:$B$12,MATCH(A3,'Дорожная карта'!$A$5:$A$12,0))</f>
        <v/>
      </c>
      <c r="E3" s="8" t="inlineStr">
        <is>
          <t>Не начато</t>
        </is>
      </c>
      <c r="F3" s="9" t="n"/>
      <c r="G3" s="4" t="n"/>
    </row>
    <row r="4">
      <c r="A4" s="4" t="n">
        <v>2</v>
      </c>
      <c r="B4" s="4" t="inlineStr">
        <is>
          <t>Администрирование</t>
        </is>
      </c>
      <c r="C4" s="4" t="inlineStr">
        <is>
          <t>Знаю тарифы и ограничения, могу подобрать тариф</t>
        </is>
      </c>
      <c r="D4" s="4">
        <f>INDEX('Дорожная карта'!$B$5:$B$12,MATCH(A4,'Дорожная карта'!$A$5:$A$12,0))</f>
        <v/>
      </c>
      <c r="E4" s="8" t="inlineStr">
        <is>
          <t>Не начато</t>
        </is>
      </c>
      <c r="F4" s="9" t="n"/>
      <c r="G4" s="4" t="n"/>
    </row>
    <row r="5">
      <c r="A5" s="4" t="n">
        <v>2</v>
      </c>
      <c r="B5" s="4" t="inlineStr">
        <is>
          <t>Администрирование</t>
        </is>
      </c>
      <c r="C5" s="4" t="inlineStr">
        <is>
          <t>Настраиваю структуру компании и права доступа</t>
        </is>
      </c>
      <c r="D5" s="4">
        <f>INDEX('Дорожная карта'!$B$5:$B$12,MATCH(A5,'Дорожная карта'!$A$5:$A$12,0))</f>
        <v/>
      </c>
      <c r="E5" s="8" t="inlineStr">
        <is>
          <t>Не начато</t>
        </is>
      </c>
      <c r="F5" s="9" t="n"/>
      <c r="G5" s="4" t="n"/>
    </row>
    <row r="6">
      <c r="A6" s="4" t="n">
        <v>2</v>
      </c>
      <c r="B6" s="4" t="inlineStr">
        <is>
          <t>Администрирование</t>
        </is>
      </c>
      <c r="C6" s="4" t="inlineStr">
        <is>
          <t>Настраиваю рабочие группы, проекты, экстранет</t>
        </is>
      </c>
      <c r="D6" s="4">
        <f>INDEX('Дорожная карта'!$B$5:$B$12,MATCH(A6,'Дорожная карта'!$A$5:$A$12,0))</f>
        <v/>
      </c>
      <c r="E6" s="8" t="inlineStr">
        <is>
          <t>Не начато</t>
        </is>
      </c>
      <c r="F6" s="9" t="n"/>
      <c r="G6" s="4" t="n"/>
    </row>
    <row r="7">
      <c r="A7" s="4" t="n">
        <v>2</v>
      </c>
      <c r="B7" s="4" t="inlineStr">
        <is>
          <t>Администрирование</t>
        </is>
      </c>
      <c r="C7" s="4" t="inlineStr">
        <is>
          <t>Настраиваю безопасность (2FA, IP, журнал)</t>
        </is>
      </c>
      <c r="D7" s="4">
        <f>INDEX('Дорожная карта'!$B$5:$B$12,MATCH(A7,'Дорожная карта'!$A$5:$A$12,0))</f>
        <v/>
      </c>
      <c r="E7" s="8" t="inlineStr">
        <is>
          <t>Не начато</t>
        </is>
      </c>
      <c r="F7" s="9" t="n"/>
      <c r="G7" s="4" t="n"/>
    </row>
    <row r="8">
      <c r="A8" s="4" t="n">
        <v>2</v>
      </c>
      <c r="B8" s="4" t="inlineStr">
        <is>
          <t>Администрирование</t>
        </is>
      </c>
      <c r="C8" s="4" t="inlineStr">
        <is>
          <t>Импорт/экспорт данных (CSV, Excel)</t>
        </is>
      </c>
      <c r="D8" s="4">
        <f>INDEX('Дорожная карта'!$B$5:$B$12,MATCH(A8,'Дорожная карта'!$A$5:$A$12,0))</f>
        <v/>
      </c>
      <c r="E8" s="8" t="inlineStr">
        <is>
          <t>Не начато</t>
        </is>
      </c>
      <c r="F8" s="9" t="n"/>
      <c r="G8" s="4" t="n"/>
    </row>
    <row r="9">
      <c r="A9" s="4" t="n">
        <v>3</v>
      </c>
      <c r="B9" s="4" t="inlineStr">
        <is>
          <t>CRM</t>
        </is>
      </c>
      <c r="C9" s="4" t="inlineStr">
        <is>
          <t>Настроил воронки, стадии, причины отказа</t>
        </is>
      </c>
      <c r="D9" s="4">
        <f>INDEX('Дорожная карта'!$B$5:$B$12,MATCH(A9,'Дорожная карта'!$A$5:$A$12,0))</f>
        <v/>
      </c>
      <c r="E9" s="8" t="inlineStr">
        <is>
          <t>Не начато</t>
        </is>
      </c>
      <c r="F9" s="9" t="n"/>
      <c r="G9" s="4" t="n"/>
    </row>
    <row r="10">
      <c r="A10" s="4" t="n">
        <v>3</v>
      </c>
      <c r="B10" s="4" t="inlineStr">
        <is>
          <t>CRM</t>
        </is>
      </c>
      <c r="C10" s="4" t="inlineStr">
        <is>
          <t>Настроил пользовательские поля и справочники</t>
        </is>
      </c>
      <c r="D10" s="4">
        <f>INDEX('Дорожная карта'!$B$5:$B$12,MATCH(A10,'Дорожная карта'!$A$5:$A$12,0))</f>
        <v/>
      </c>
      <c r="E10" s="8" t="inlineStr">
        <is>
          <t>Не начато</t>
        </is>
      </c>
      <c r="F10" s="9" t="n"/>
      <c r="G10" s="4" t="n"/>
    </row>
    <row r="11">
      <c r="A11" s="4" t="n">
        <v>3</v>
      </c>
      <c r="B11" s="4" t="inlineStr">
        <is>
          <t>CRM</t>
        </is>
      </c>
      <c r="C11" s="4" t="inlineStr">
        <is>
          <t>Настроил проверку и объединение дублей</t>
        </is>
      </c>
      <c r="D11" s="4">
        <f>INDEX('Дорожная карта'!$B$5:$B$12,MATCH(A11,'Дорожная карта'!$A$5:$A$12,0))</f>
        <v/>
      </c>
      <c r="E11" s="8" t="inlineStr">
        <is>
          <t>Не начато</t>
        </is>
      </c>
      <c r="F11" s="9" t="n"/>
      <c r="G11" s="4" t="n"/>
    </row>
    <row r="12">
      <c r="A12" s="4" t="n">
        <v>3</v>
      </c>
      <c r="B12" s="4" t="inlineStr">
        <is>
          <t>CRM</t>
        </is>
      </c>
      <c r="C12" s="4" t="inlineStr">
        <is>
          <t>Настроил товары, каталог, счета, КП</t>
        </is>
      </c>
      <c r="D12" s="4">
        <f>INDEX('Дорожная карта'!$B$5:$B$12,MATCH(A12,'Дорожная карта'!$A$5:$A$12,0))</f>
        <v/>
      </c>
      <c r="E12" s="8" t="inlineStr">
        <is>
          <t>Не начато</t>
        </is>
      </c>
      <c r="F12" s="9" t="n"/>
      <c r="G12" s="4" t="n"/>
    </row>
    <row r="13">
      <c r="A13" s="4" t="n">
        <v>3</v>
      </c>
      <c r="B13" s="4" t="inlineStr">
        <is>
          <t>CRM</t>
        </is>
      </c>
      <c r="C13" s="4" t="inlineStr">
        <is>
          <t>Настроил роли и права в CRM</t>
        </is>
      </c>
      <c r="D13" s="4">
        <f>INDEX('Дорожная карта'!$B$5:$B$12,MATCH(A13,'Дорожная карта'!$A$5:$A$12,0))</f>
        <v/>
      </c>
      <c r="E13" s="8" t="inlineStr">
        <is>
          <t>Не начато</t>
        </is>
      </c>
      <c r="F13" s="9" t="n"/>
      <c r="G13" s="4" t="n"/>
    </row>
    <row r="14">
      <c r="A14" s="4" t="n">
        <v>3</v>
      </c>
      <c r="B14" s="4" t="inlineStr">
        <is>
          <t>CRM</t>
        </is>
      </c>
      <c r="C14" s="4" t="inlineStr">
        <is>
          <t>Настроил отчёты, аналитику, дашборды</t>
        </is>
      </c>
      <c r="D14" s="4">
        <f>INDEX('Дорожная карта'!$B$5:$B$12,MATCH(A14,'Дорожная карта'!$A$5:$A$12,0))</f>
        <v/>
      </c>
      <c r="E14" s="8" t="inlineStr">
        <is>
          <t>Не начато</t>
        </is>
      </c>
      <c r="F14" s="9" t="n"/>
      <c r="G14" s="4" t="n"/>
    </row>
    <row r="15">
      <c r="A15" s="4" t="n">
        <v>3</v>
      </c>
      <c r="B15" s="4" t="inlineStr">
        <is>
          <t>CRM</t>
        </is>
      </c>
      <c r="C15" s="4" t="inlineStr">
        <is>
          <t>Настроил рассылки и CRM-маркетинг</t>
        </is>
      </c>
      <c r="D15" s="4">
        <f>INDEX('Дорожная карта'!$B$5:$B$12,MATCH(A15,'Дорожная карта'!$A$5:$A$12,0))</f>
        <v/>
      </c>
      <c r="E15" s="8" t="inlineStr">
        <is>
          <t>Не начато</t>
        </is>
      </c>
      <c r="F15" s="9" t="n"/>
      <c r="G15" s="4" t="n"/>
    </row>
    <row r="16">
      <c r="A16" s="4" t="n">
        <v>3</v>
      </c>
      <c r="B16" s="4" t="inlineStr">
        <is>
          <t>Автоматизация</t>
        </is>
      </c>
      <c r="C16" s="4" t="inlineStr">
        <is>
          <t>Роботы и триггеры в лидах и сделках</t>
        </is>
      </c>
      <c r="D16" s="4">
        <f>INDEX('Дорожная карта'!$B$5:$B$12,MATCH(A16,'Дорожная карта'!$A$5:$A$12,0))</f>
        <v/>
      </c>
      <c r="E16" s="8" t="inlineStr">
        <is>
          <t>Не начато</t>
        </is>
      </c>
      <c r="F16" s="9" t="n"/>
      <c r="G16" s="4" t="n"/>
    </row>
    <row r="17">
      <c r="A17" s="4" t="n">
        <v>3</v>
      </c>
      <c r="B17" s="4" t="inlineStr">
        <is>
          <t>Автоматизация</t>
        </is>
      </c>
      <c r="C17" s="4" t="inlineStr">
        <is>
          <t>Бизнес-процесс с согласованием</t>
        </is>
      </c>
      <c r="D17" s="4">
        <f>INDEX('Дорожная карта'!$B$5:$B$12,MATCH(A17,'Дорожная карта'!$A$5:$A$12,0))</f>
        <v/>
      </c>
      <c r="E17" s="8" t="inlineStr">
        <is>
          <t>Не начато</t>
        </is>
      </c>
      <c r="F17" s="9" t="n"/>
      <c r="G17" s="4" t="n"/>
    </row>
    <row r="18">
      <c r="A18" s="4" t="n">
        <v>3</v>
      </c>
      <c r="B18" s="4" t="inlineStr">
        <is>
          <t>Автоматизация</t>
        </is>
      </c>
      <c r="C18" s="4" t="inlineStr">
        <is>
          <t>Смарт-процесс со своими стадиями и полями</t>
        </is>
      </c>
      <c r="D18" s="4">
        <f>INDEX('Дорожная карта'!$B$5:$B$12,MATCH(A18,'Дорожная карта'!$A$5:$A$12,0))</f>
        <v/>
      </c>
      <c r="E18" s="8" t="inlineStr">
        <is>
          <t>Не начато</t>
        </is>
      </c>
      <c r="F18" s="9" t="n"/>
      <c r="G18" s="4" t="n"/>
    </row>
    <row r="19">
      <c r="A19" s="4" t="n">
        <v>3</v>
      </c>
      <c r="B19" s="4" t="inlineStr">
        <is>
          <t>Автоматизация</t>
        </is>
      </c>
      <c r="C19" s="4" t="inlineStr">
        <is>
          <t>Шаблоны документов и генерация из CRM</t>
        </is>
      </c>
      <c r="D19" s="4">
        <f>INDEX('Дорожная карта'!$B$5:$B$12,MATCH(A19,'Дорожная карта'!$A$5:$A$12,0))</f>
        <v/>
      </c>
      <c r="E19" s="8" t="inlineStr">
        <is>
          <t>Не начато</t>
        </is>
      </c>
      <c r="F19" s="9" t="n"/>
      <c r="G19" s="4" t="n"/>
    </row>
    <row r="20">
      <c r="A20" s="4" t="n">
        <v>3</v>
      </c>
      <c r="B20" s="4" t="inlineStr">
        <is>
          <t>Автоматизация</t>
        </is>
      </c>
      <c r="C20" s="4" t="inlineStr">
        <is>
          <t>SLA и эскалации</t>
        </is>
      </c>
      <c r="D20" s="4">
        <f>INDEX('Дорожная карта'!$B$5:$B$12,MATCH(A20,'Дорожная карта'!$A$5:$A$12,0))</f>
        <v/>
      </c>
      <c r="E20" s="8" t="inlineStr">
        <is>
          <t>Не начато</t>
        </is>
      </c>
      <c r="F20" s="9" t="n"/>
      <c r="G20" s="4" t="n"/>
    </row>
    <row r="21">
      <c r="A21" s="4" t="n">
        <v>3</v>
      </c>
      <c r="B21" s="4" t="inlineStr">
        <is>
          <t>Автоматизация</t>
        </is>
      </c>
      <c r="C21" s="4" t="inlineStr">
        <is>
          <t>Шаблоны БП для Живой ленты (заявка, отпуск, командировка)</t>
        </is>
      </c>
      <c r="D21" s="4">
        <f>INDEX('Дорожная карта'!$B$5:$B$12,MATCH(A21,'Дорожная карта'!$A$5:$A$12,0))</f>
        <v/>
      </c>
      <c r="E21" s="8" t="inlineStr">
        <is>
          <t>Не начато</t>
        </is>
      </c>
      <c r="F21" s="9" t="n"/>
      <c r="G21" s="4" t="n"/>
    </row>
    <row r="22">
      <c r="A22" s="4" t="n">
        <v>4</v>
      </c>
      <c r="B22" s="4" t="inlineStr">
        <is>
          <t>Интеграции</t>
        </is>
      </c>
      <c r="C22" s="4" t="inlineStr">
        <is>
          <t>Подключил почту и календарь</t>
        </is>
      </c>
      <c r="D22" s="4">
        <f>INDEX('Дорожная карта'!$B$5:$B$12,MATCH(A22,'Дорожная карта'!$A$5:$A$12,0))</f>
        <v/>
      </c>
      <c r="E22" s="8" t="inlineStr">
        <is>
          <t>Не начато</t>
        </is>
      </c>
      <c r="F22" s="9" t="n"/>
      <c r="G22" s="4" t="n"/>
    </row>
    <row r="23">
      <c r="A23" s="4" t="n">
        <v>4</v>
      </c>
      <c r="B23" s="4" t="inlineStr">
        <is>
          <t>Интеграции</t>
        </is>
      </c>
      <c r="C23" s="4" t="inlineStr">
        <is>
          <t>Подключил телефонию и записи звонков</t>
        </is>
      </c>
      <c r="D23" s="4">
        <f>INDEX('Дорожная карта'!$B$5:$B$12,MATCH(A23,'Дорожная карта'!$A$5:$A$12,0))</f>
        <v/>
      </c>
      <c r="E23" s="8" t="inlineStr">
        <is>
          <t>Не начато</t>
        </is>
      </c>
      <c r="F23" s="9" t="n"/>
      <c r="G23" s="4" t="n"/>
    </row>
    <row r="24">
      <c r="A24" s="4" t="n">
        <v>4</v>
      </c>
      <c r="B24" s="4" t="inlineStr">
        <is>
          <t>Интеграции</t>
        </is>
      </c>
      <c r="C24" s="4" t="inlineStr">
        <is>
          <t>Подключил открытые линии (мессенджеры, сайт)</t>
        </is>
      </c>
      <c r="D24" s="4">
        <f>INDEX('Дорожная карта'!$B$5:$B$12,MATCH(A24,'Дорожная карта'!$A$5:$A$12,0))</f>
        <v/>
      </c>
      <c r="E24" s="8" t="inlineStr">
        <is>
          <t>Не начато</t>
        </is>
      </c>
      <c r="F24" s="9" t="n"/>
      <c r="G24" s="4" t="n"/>
    </row>
    <row r="25">
      <c r="A25" s="4" t="n">
        <v>4</v>
      </c>
      <c r="B25" s="4" t="inlineStr">
        <is>
          <t>Интеграции</t>
        </is>
      </c>
      <c r="C25" s="4" t="inlineStr">
        <is>
          <t>CRM-формы и передача UTM / сквозная аналитика</t>
        </is>
      </c>
      <c r="D25" s="4">
        <f>INDEX('Дорожная карта'!$B$5:$B$12,MATCH(A25,'Дорожная карта'!$A$5:$A$12,0))</f>
        <v/>
      </c>
      <c r="E25" s="8" t="inlineStr">
        <is>
          <t>Не начато</t>
        </is>
      </c>
      <c r="F25" s="9" t="n"/>
      <c r="G25" s="4" t="n"/>
    </row>
    <row r="26">
      <c r="A26" s="4" t="n">
        <v>4</v>
      </c>
      <c r="B26" s="4" t="inlineStr">
        <is>
          <t>Интеграции</t>
        </is>
      </c>
      <c r="C26" s="4" t="inlineStr">
        <is>
          <t>Знаю варианты интеграции с 1С и умею выбирать</t>
        </is>
      </c>
      <c r="D26" s="4">
        <f>INDEX('Дорожная карта'!$B$5:$B$12,MATCH(A26,'Дорожная карта'!$A$5:$A$12,0))</f>
        <v/>
      </c>
      <c r="E26" s="8" t="inlineStr">
        <is>
          <t>Не начато</t>
        </is>
      </c>
      <c r="F26" s="9" t="n"/>
      <c r="G26" s="4" t="n"/>
    </row>
    <row r="27">
      <c r="A27" s="4" t="n">
        <v>4</v>
      </c>
      <c r="B27" s="4" t="inlineStr">
        <is>
          <t>Интеграции</t>
        </is>
      </c>
      <c r="C27" s="4" t="inlineStr">
        <is>
          <t>Связка сервисов через Make/n8n</t>
        </is>
      </c>
      <c r="D27" s="4">
        <f>INDEX('Дорожная карта'!$B$5:$B$12,MATCH(A27,'Дорожная карта'!$A$5:$A$12,0))</f>
        <v/>
      </c>
      <c r="E27" s="8" t="inlineStr">
        <is>
          <t>Не начато</t>
        </is>
      </c>
      <c r="F27" s="9" t="n"/>
      <c r="G27" s="4" t="n"/>
    </row>
    <row r="28">
      <c r="A28" s="4" t="n">
        <v>4</v>
      </c>
      <c r="B28" s="4" t="inlineStr">
        <is>
          <t>Интеграции</t>
        </is>
      </c>
      <c r="C28" s="4" t="inlineStr">
        <is>
          <t>Умею оценивать приложения Маркета</t>
        </is>
      </c>
      <c r="D28" s="4">
        <f>INDEX('Дорожная карта'!$B$5:$B$12,MATCH(A28,'Дорожная карта'!$A$5:$A$12,0))</f>
        <v/>
      </c>
      <c r="E28" s="8" t="inlineStr">
        <is>
          <t>Не начато</t>
        </is>
      </c>
      <c r="F28" s="9" t="n"/>
      <c r="G28" s="4" t="n"/>
    </row>
    <row r="29">
      <c r="A29" s="4" t="n">
        <v>5</v>
      </c>
      <c r="B29" s="4" t="inlineStr">
        <is>
          <t>Разработка</t>
        </is>
      </c>
      <c r="C29" s="4" t="inlineStr">
        <is>
          <t>Вызов REST через входящий вебхук (crm.lead.add, crm.deal.list)</t>
        </is>
      </c>
      <c r="D29" s="4">
        <f>INDEX('Дорожная карта'!$B$5:$B$12,MATCH(A29,'Дорожная карта'!$A$5:$A$12,0))</f>
        <v/>
      </c>
      <c r="E29" s="8" t="inlineStr">
        <is>
          <t>Не начато</t>
        </is>
      </c>
      <c r="F29" s="9" t="n"/>
      <c r="G29" s="4" t="n"/>
    </row>
    <row r="30">
      <c r="A30" s="4" t="n">
        <v>5</v>
      </c>
      <c r="B30" s="4" t="inlineStr">
        <is>
          <t>Разработка</t>
        </is>
      </c>
      <c r="C30" s="4" t="inlineStr">
        <is>
          <t>Исходящий вебхук и обработка события</t>
        </is>
      </c>
      <c r="D30" s="4">
        <f>INDEX('Дорожная карта'!$B$5:$B$12,MATCH(A30,'Дорожная карта'!$A$5:$A$12,0))</f>
        <v/>
      </c>
      <c r="E30" s="8" t="inlineStr">
        <is>
          <t>Не начато</t>
        </is>
      </c>
      <c r="F30" s="9" t="n"/>
      <c r="G30" s="4" t="n"/>
    </row>
    <row r="31">
      <c r="A31" s="4" t="n">
        <v>5</v>
      </c>
      <c r="B31" s="4" t="inlineStr">
        <is>
          <t>Разработка</t>
        </is>
      </c>
      <c r="C31" s="4" t="inlineStr">
        <is>
          <t>Локальное приложение с OAuth</t>
        </is>
      </c>
      <c r="D31" s="4">
        <f>INDEX('Дорожная карта'!$B$5:$B$12,MATCH(A31,'Дорожная карта'!$A$5:$A$12,0))</f>
        <v/>
      </c>
      <c r="E31" s="8" t="inlineStr">
        <is>
          <t>Не начато</t>
        </is>
      </c>
      <c r="F31" s="9" t="n"/>
      <c r="G31" s="4" t="n"/>
    </row>
    <row r="32">
      <c r="A32" s="4" t="n">
        <v>5</v>
      </c>
      <c r="B32" s="4" t="inlineStr">
        <is>
          <t>Разработка</t>
        </is>
      </c>
      <c r="C32" s="4" t="inlineStr">
        <is>
          <t>Использую batch и учитываю лимиты</t>
        </is>
      </c>
      <c r="D32" s="4">
        <f>INDEX('Дорожная карта'!$B$5:$B$12,MATCH(A32,'Дорожная карта'!$A$5:$A$12,0))</f>
        <v/>
      </c>
      <c r="E32" s="8" t="inlineStr">
        <is>
          <t>Не начато</t>
        </is>
      </c>
      <c r="F32" s="9" t="n"/>
      <c r="G32" s="4" t="n"/>
    </row>
    <row r="33">
      <c r="A33" s="4" t="n">
        <v>5</v>
      </c>
      <c r="B33" s="4" t="inlineStr">
        <is>
          <t>Разработка</t>
        </is>
      </c>
      <c r="C33" s="4" t="inlineStr">
        <is>
          <t>Собственный робот/активити для БП</t>
        </is>
      </c>
      <c r="D33" s="4">
        <f>INDEX('Дорожная карта'!$B$5:$B$12,MATCH(A33,'Дорожная карта'!$A$5:$A$12,0))</f>
        <v/>
      </c>
      <c r="E33" s="8" t="inlineStr">
        <is>
          <t>Не начато</t>
        </is>
      </c>
      <c r="F33" s="9" t="n"/>
      <c r="G33" s="4" t="n"/>
    </row>
    <row r="34">
      <c r="A34" s="4" t="n">
        <v>5</v>
      </c>
      <c r="B34" s="4" t="inlineStr">
        <is>
          <t>Разработка</t>
        </is>
      </c>
      <c r="C34" s="4" t="inlineStr">
        <is>
          <t>Встройка (placement) в интерфейс</t>
        </is>
      </c>
      <c r="D34" s="4">
        <f>INDEX('Дорожная карта'!$B$5:$B$12,MATCH(A34,'Дорожная карта'!$A$5:$A$12,0))</f>
        <v/>
      </c>
      <c r="E34" s="8" t="inlineStr">
        <is>
          <t>Не начато</t>
        </is>
      </c>
      <c r="F34" s="9" t="n"/>
      <c r="G34" s="4" t="n"/>
    </row>
    <row r="35">
      <c r="A35" s="4" t="n">
        <v>5</v>
      </c>
      <c r="B35" s="4" t="inlineStr">
        <is>
          <t>Разработка</t>
        </is>
      </c>
      <c r="C35" s="4" t="inlineStr">
        <is>
          <t>Отладка, логирование, безопасное хранение токенов</t>
        </is>
      </c>
      <c r="D35" s="4">
        <f>INDEX('Дорожная карта'!$B$5:$B$12,MATCH(A35,'Дорожная карта'!$A$5:$A$12,0))</f>
        <v/>
      </c>
      <c r="E35" s="8" t="inlineStr">
        <is>
          <t>Не начато</t>
        </is>
      </c>
      <c r="F35" s="9" t="n"/>
      <c r="G35" s="4" t="n"/>
    </row>
    <row r="36">
      <c r="A36" s="4" t="n">
        <v>5</v>
      </c>
      <c r="B36" s="4" t="inlineStr">
        <is>
          <t>Разработка</t>
        </is>
      </c>
      <c r="C36" s="4" t="inlineStr">
        <is>
          <t>Развёртывание приложения по HTTPS</t>
        </is>
      </c>
      <c r="D36" s="4">
        <f>INDEX('Дорожная карта'!$B$5:$B$12,MATCH(A36,'Дорожная карта'!$A$5:$A$12,0))</f>
        <v/>
      </c>
      <c r="E36" s="8" t="inlineStr">
        <is>
          <t>Не начато</t>
        </is>
      </c>
      <c r="F36" s="9" t="n"/>
      <c r="G36" s="4" t="n"/>
    </row>
    <row r="37">
      <c r="A37" s="4" t="n">
        <v>6</v>
      </c>
      <c r="B37" s="4" t="inlineStr">
        <is>
          <t>Методология</t>
        </is>
      </c>
      <c r="C37" s="4" t="inlineStr">
        <is>
          <t>Обследование и описание процессов</t>
        </is>
      </c>
      <c r="D37" s="4">
        <f>INDEX('Дорожная карта'!$B$5:$B$12,MATCH(A37,'Дорожная карта'!$A$5:$A$12,0))</f>
        <v/>
      </c>
      <c r="E37" s="8" t="inlineStr">
        <is>
          <t>Не начато</t>
        </is>
      </c>
      <c r="F37" s="9" t="n"/>
      <c r="G37" s="4" t="n"/>
    </row>
    <row r="38">
      <c r="A38" s="4" t="n">
        <v>6</v>
      </c>
      <c r="B38" s="4" t="inlineStr">
        <is>
          <t>Методология</t>
        </is>
      </c>
      <c r="C38" s="4" t="inlineStr">
        <is>
          <t>ТЗ и оценка сроков</t>
        </is>
      </c>
      <c r="D38" s="4">
        <f>INDEX('Дорожная карта'!$B$5:$B$12,MATCH(A38,'Дорожная карта'!$A$5:$A$12,0))</f>
        <v/>
      </c>
      <c r="E38" s="8" t="inlineStr">
        <is>
          <t>Не начато</t>
        </is>
      </c>
      <c r="F38" s="9" t="n"/>
      <c r="G38" s="4" t="n"/>
    </row>
    <row r="39">
      <c r="A39" s="4" t="n">
        <v>6</v>
      </c>
      <c r="B39" s="4" t="inlineStr">
        <is>
          <t>Методология</t>
        </is>
      </c>
      <c r="C39" s="4" t="inlineStr">
        <is>
          <t>Обучение и инструкции для пользователей</t>
        </is>
      </c>
      <c r="D39" s="4">
        <f>INDEX('Дорожная карта'!$B$5:$B$12,MATCH(A39,'Дорожная карта'!$A$5:$A$12,0))</f>
        <v/>
      </c>
      <c r="E39" s="8" t="inlineStr">
        <is>
          <t>Не начато</t>
        </is>
      </c>
      <c r="F39" s="9" t="n"/>
      <c r="G39" s="4" t="n"/>
    </row>
    <row r="40">
      <c r="A40" s="4" t="n">
        <v>6</v>
      </c>
      <c r="B40" s="4" t="inlineStr">
        <is>
          <t>Методология</t>
        </is>
      </c>
      <c r="C40" s="4" t="inlineStr">
        <is>
          <t>Ведение проекта: этапы, риски, приёмка</t>
        </is>
      </c>
      <c r="D40" s="4">
        <f>INDEX('Дорожная карта'!$B$5:$B$12,MATCH(A40,'Дорожная карта'!$A$5:$A$12,0))</f>
        <v/>
      </c>
      <c r="E40" s="8" t="inlineStr">
        <is>
          <t>Не начато</t>
        </is>
      </c>
      <c r="F40" s="9" t="n"/>
      <c r="G40" s="4" t="n"/>
    </row>
    <row r="41">
      <c r="A41" s="4" t="n">
        <v>6</v>
      </c>
      <c r="B41" s="4" t="inlineStr">
        <is>
          <t>Методология</t>
        </is>
      </c>
      <c r="C41" s="4" t="inlineStr">
        <is>
          <t>Договор, SLA, порядок поддержки</t>
        </is>
      </c>
      <c r="D41" s="4">
        <f>INDEX('Дорожная карта'!$B$5:$B$12,MATCH(A41,'Дорожная карта'!$A$5:$A$12,0))</f>
        <v/>
      </c>
      <c r="E41" s="8" t="inlineStr">
        <is>
          <t>Не начато</t>
        </is>
      </c>
      <c r="F41" s="9" t="n"/>
      <c r="G41" s="4" t="n"/>
    </row>
    <row r="42">
      <c r="A42" s="4" t="n">
        <v>6</v>
      </c>
      <c r="B42" s="4" t="inlineStr">
        <is>
          <t>Методология</t>
        </is>
      </c>
      <c r="C42" s="4" t="inlineStr">
        <is>
          <t>Расчёт окупаемости внедрения</t>
        </is>
      </c>
      <c r="D42" s="4">
        <f>INDEX('Дорожная карта'!$B$5:$B$12,MATCH(A42,'Дорожная карта'!$A$5:$A$12,0))</f>
        <v/>
      </c>
      <c r="E42" s="8" t="inlineStr">
        <is>
          <t>Не начато</t>
        </is>
      </c>
      <c r="F42" s="9" t="n"/>
      <c r="G42" s="4" t="n"/>
    </row>
    <row r="43">
      <c r="A43" s="4" t="n">
        <v>7</v>
      </c>
      <c r="B43" s="4" t="inlineStr">
        <is>
          <t>Статус</t>
        </is>
      </c>
      <c r="C43" s="4" t="inlineStr">
        <is>
          <t>Пройдено обучение в Академии Битрикс24</t>
        </is>
      </c>
      <c r="D43" s="4">
        <f>INDEX('Дорожная карта'!$B$5:$B$12,MATCH(A43,'Дорожная карта'!$A$5:$A$12,0))</f>
        <v/>
      </c>
      <c r="E43" s="8" t="inlineStr">
        <is>
          <t>Не начато</t>
        </is>
      </c>
      <c r="F43" s="9" t="n"/>
      <c r="G43" s="4" t="n"/>
    </row>
    <row r="44">
      <c r="A44" s="4" t="n">
        <v>7</v>
      </c>
      <c r="B44" s="4" t="inlineStr">
        <is>
          <t>Статус</t>
        </is>
      </c>
      <c r="C44" s="4" t="inlineStr">
        <is>
          <t>Получены сертификаты</t>
        </is>
      </c>
      <c r="D44" s="4">
        <f>INDEX('Дорожная карта'!$B$5:$B$12,MATCH(A44,'Дорожная карта'!$A$5:$A$12,0))</f>
        <v/>
      </c>
      <c r="E44" s="8" t="inlineStr">
        <is>
          <t>Не начато</t>
        </is>
      </c>
      <c r="F44" s="9" t="n"/>
      <c r="G44" s="4" t="n"/>
    </row>
    <row r="45">
      <c r="A45" s="4" t="n">
        <v>7</v>
      </c>
      <c r="B45" s="4" t="inlineStr">
        <is>
          <t>Статус</t>
        </is>
      </c>
      <c r="C45" s="4" t="inlineStr">
        <is>
          <t>≥3 кейса на внутреннем портале</t>
        </is>
      </c>
      <c r="D45" s="4">
        <f>INDEX('Дорожная карта'!$B$5:$B$12,MATCH(A45,'Дорожная карта'!$A$5:$A$12,0))</f>
        <v/>
      </c>
      <c r="E45" s="8" t="inlineStr">
        <is>
          <t>Не начато</t>
        </is>
      </c>
      <c r="F45" s="9" t="n"/>
      <c r="G45" s="4" t="n"/>
    </row>
    <row r="46">
      <c r="A46" s="4" t="n">
        <v>7</v>
      </c>
      <c r="B46" s="4" t="inlineStr">
        <is>
          <t>Статус</t>
        </is>
      </c>
      <c r="C46" s="4" t="inlineStr">
        <is>
          <t>Портфолио и отзывы</t>
        </is>
      </c>
      <c r="D46" s="4">
        <f>INDEX('Дорожная карта'!$B$5:$B$12,MATCH(A46,'Дорожная карта'!$A$5:$A$12,0))</f>
        <v/>
      </c>
      <c r="E46" s="8" t="inlineStr">
        <is>
          <t>Не начато</t>
        </is>
      </c>
      <c r="F46" s="9" t="n"/>
      <c r="G46" s="4" t="n"/>
    </row>
    <row r="47">
      <c r="A47" s="4" t="n">
        <v>7</v>
      </c>
      <c r="B47" s="4" t="inlineStr">
        <is>
          <t>Статус</t>
        </is>
      </c>
      <c r="C47" s="4" t="inlineStr">
        <is>
          <t>Статус партнёра (если целесообразно)</t>
        </is>
      </c>
      <c r="D47" s="4">
        <f>INDEX('Дорожная карта'!$B$5:$B$12,MATCH(A47,'Дорожная карта'!$A$5:$A$12,0))</f>
        <v/>
      </c>
      <c r="E47" s="8" t="inlineStr">
        <is>
          <t>Не начато</t>
        </is>
      </c>
      <c r="F47" s="9" t="n"/>
      <c r="G47" s="4" t="n"/>
    </row>
    <row r="48">
      <c r="A48" s="4" t="n">
        <v>7</v>
      </c>
      <c r="B48" s="4" t="inlineStr">
        <is>
          <t>Статус</t>
        </is>
      </c>
      <c r="C48" s="4" t="inlineStr">
        <is>
          <t>Первый внешний клиент</t>
        </is>
      </c>
      <c r="D48" s="4">
        <f>INDEX('Дорожная карта'!$B$5:$B$12,MATCH(A48,'Дорожная карта'!$A$5:$A$12,0))</f>
        <v/>
      </c>
      <c r="E48" s="8" t="inlineStr">
        <is>
          <t>Не начато</t>
        </is>
      </c>
      <c r="F48" s="9" t="n"/>
      <c r="G48" s="4" t="n"/>
    </row>
    <row r="50">
      <c r="A50" s="10" t="inlineStr">
        <is>
          <t>Легенда: меняйте только синие ячейки в колонке «Статус» (выпадающий список), дату и заметки.</t>
        </is>
      </c>
    </row>
  </sheetData>
  <autoFilter ref="A1:G48"/>
  <conditionalFormatting sqref="E2:E48">
    <cfRule type="cellIs" priority="1" operator="equal" dxfId="0">
      <formula>"Готово"</formula>
    </cfRule>
    <cfRule type="cellIs" priority="2" operator="equal" dxfId="1">
      <formula>"В работе"</formula>
    </cfRule>
  </conditionalFormatting>
  <dataValidations count="1">
    <dataValidation sqref="E2:E48" showDropDown="0" showInputMessage="0" showErrorMessage="0" allowBlank="0" type="list">
      <formula1>"Не начато,В работе,Готово"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13" customWidth="1" min="4" max="4"/>
    <col width="35" customWidth="1" min="5" max="5"/>
  </cols>
  <sheetData>
    <row r="1">
      <c r="A1" s="3" t="inlineStr">
        <is>
          <t>Недели</t>
        </is>
      </c>
      <c r="B1" s="3" t="inlineStr">
        <is>
          <t>Задача на портале</t>
        </is>
      </c>
      <c r="C1" s="3" t="inlineStr">
        <is>
          <t>Результат</t>
        </is>
      </c>
      <c r="D1" s="3" t="inlineStr">
        <is>
          <t>Статус</t>
        </is>
      </c>
      <c r="E1" s="3" t="inlineStr">
        <is>
          <t>Заметки</t>
        </is>
      </c>
    </row>
    <row r="2">
      <c r="A2" s="11" t="inlineStr">
        <is>
          <t>1</t>
        </is>
      </c>
      <c r="B2" s="4" t="inlineStr">
        <is>
          <t>Аудит портала: тариф, пользователи, права, что настроено</t>
        </is>
      </c>
      <c r="C2" s="4" t="inlineStr">
        <is>
          <t>Документ «текущее состояние»</t>
        </is>
      </c>
      <c r="D2" s="8" t="inlineStr">
        <is>
          <t>Не начато</t>
        </is>
      </c>
      <c r="E2" s="4" t="n"/>
    </row>
    <row r="3">
      <c r="A3" s="11" t="inlineStr">
        <is>
          <t>2-4</t>
        </is>
      </c>
      <c r="B3" s="4" t="inlineStr">
        <is>
          <t>Пройти все модули, заполнить чеклист «Продукт»</t>
        </is>
      </c>
      <c r="C3" s="4" t="inlineStr">
        <is>
          <t>Заметки, вопросы, идеи</t>
        </is>
      </c>
      <c r="D3" s="8" t="inlineStr">
        <is>
          <t>Не начато</t>
        </is>
      </c>
      <c r="E3" s="4" t="n"/>
    </row>
    <row r="4">
      <c r="A4" s="11" t="inlineStr">
        <is>
          <t>5-6</t>
        </is>
      </c>
      <c r="B4" s="4" t="inlineStr">
        <is>
          <t>Навести порядок в структуре, правах, полях CRM</t>
        </is>
      </c>
      <c r="C4" s="4" t="inlineStr">
        <is>
          <t>Чистая настройка</t>
        </is>
      </c>
      <c r="D4" s="8" t="inlineStr">
        <is>
          <t>Не начато</t>
        </is>
      </c>
      <c r="E4" s="4" t="n"/>
    </row>
    <row r="5">
      <c r="A5" s="11" t="inlineStr">
        <is>
          <t>7-10</t>
        </is>
      </c>
      <c r="B5" s="4" t="inlineStr">
        <is>
          <t>Автоматизировать 3 процесса (роботы + БП)</t>
        </is>
      </c>
      <c r="C5" s="4" t="inlineStr">
        <is>
          <t>3 работающих кейса</t>
        </is>
      </c>
      <c r="D5" s="8" t="inlineStr">
        <is>
          <t>Не начато</t>
        </is>
      </c>
      <c r="E5" s="4" t="n"/>
    </row>
    <row r="6">
      <c r="A6" s="11" t="inlineStr">
        <is>
          <t>11-14</t>
        </is>
      </c>
      <c r="B6" s="4" t="inlineStr">
        <is>
          <t>Подключить почту, телефонию, форму, мессенджер</t>
        </is>
      </c>
      <c r="C6" s="4" t="inlineStr">
        <is>
          <t>Единое окно коммуникаций</t>
        </is>
      </c>
      <c r="D6" s="8" t="inlineStr">
        <is>
          <t>Не начато</t>
        </is>
      </c>
      <c r="E6" s="4" t="n"/>
    </row>
    <row r="7">
      <c r="A7" s="11" t="inlineStr">
        <is>
          <t>15-20</t>
        </is>
      </c>
      <c r="B7" s="4" t="inlineStr">
        <is>
          <t>Вебхуки, REST, локальное приложение, свой робот</t>
        </is>
      </c>
      <c r="C7" s="4" t="inlineStr">
        <is>
          <t>3 dev-проекта в git</t>
        </is>
      </c>
      <c r="D7" s="8" t="inlineStr">
        <is>
          <t>Не начато</t>
        </is>
      </c>
      <c r="E7" s="4" t="n"/>
    </row>
    <row r="8">
      <c r="A8" s="11" t="inlineStr">
        <is>
          <t>21-24</t>
        </is>
      </c>
      <c r="B8" s="4" t="inlineStr">
        <is>
          <t>Методика внедрения: шаблоны ТЗ, КП, обучения</t>
        </is>
      </c>
      <c r="C8" s="4" t="inlineStr">
        <is>
          <t>Пакет документов</t>
        </is>
      </c>
      <c r="D8" s="8" t="inlineStr">
        <is>
          <t>Не начато</t>
        </is>
      </c>
      <c r="E8" s="4" t="n"/>
    </row>
    <row r="9">
      <c r="A9" s="11" t="inlineStr">
        <is>
          <t>25+</t>
        </is>
      </c>
      <c r="B9" s="4" t="inlineStr">
        <is>
          <t>Сертификация, портфолио, первые внешние проекты</t>
        </is>
      </c>
      <c r="C9" s="4" t="inlineStr">
        <is>
          <t>Статус интегратора</t>
        </is>
      </c>
      <c r="D9" s="8" t="inlineStr">
        <is>
          <t>Не начато</t>
        </is>
      </c>
      <c r="E9" s="4" t="n"/>
    </row>
  </sheetData>
  <dataValidations count="1">
    <dataValidation sqref="D2:D9" showDropDown="0" showInputMessage="0" showErrorMessage="0" allowBlank="0" type="list">
      <formula1>"Не начато,В работе,Готово"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4" customWidth="1" min="3" max="3"/>
  </cols>
  <sheetData>
    <row r="1">
      <c r="A1" s="3" t="inlineStr">
        <is>
          <t>Тип</t>
        </is>
      </c>
      <c r="B1" s="3" t="inlineStr">
        <is>
          <t>Что</t>
        </is>
      </c>
      <c r="C1" s="3" t="inlineStr">
        <is>
          <t>Где</t>
        </is>
      </c>
    </row>
    <row r="2">
      <c r="A2" s="4" t="inlineStr">
        <is>
          <t>Ресурс</t>
        </is>
      </c>
      <c r="B2" s="4" t="inlineStr">
        <is>
          <t>Академия Битрикс24 (курсы, экзамены)</t>
        </is>
      </c>
      <c r="C2" s="4" t="inlineStr">
        <is>
          <t>academy.bitrix24.ru / training.bitrix24.com</t>
        </is>
      </c>
    </row>
    <row r="3">
      <c r="A3" s="4" t="inlineStr">
        <is>
          <t>Ресурс</t>
        </is>
      </c>
      <c r="B3" s="4" t="inlineStr">
        <is>
          <t>Документация REST API</t>
        </is>
      </c>
      <c r="C3" s="4" t="inlineStr">
        <is>
          <t>apidocs.bitrix24.ru</t>
        </is>
      </c>
    </row>
    <row r="4">
      <c r="A4" s="4" t="inlineStr">
        <is>
          <t>Ресурс</t>
        </is>
      </c>
      <c r="B4" s="4" t="inlineStr">
        <is>
          <t>Портал партнёров</t>
        </is>
      </c>
      <c r="C4" s="4" t="inlineStr">
        <is>
          <t>partners.bitrix24.ru</t>
        </is>
      </c>
    </row>
    <row r="5">
      <c r="A5" s="4" t="inlineStr">
        <is>
          <t>Ресурс</t>
        </is>
      </c>
      <c r="B5" s="4" t="inlineStr">
        <is>
          <t>Маркет приложений</t>
        </is>
      </c>
      <c r="C5" s="4" t="inlineStr">
        <is>
          <t>bitrix24.ru/apps</t>
        </is>
      </c>
    </row>
    <row r="6">
      <c r="A6" s="4" t="inlineStr">
        <is>
          <t>Ресурс</t>
        </is>
      </c>
      <c r="B6" s="4" t="inlineStr">
        <is>
          <t>Сообщества и чаты интеграторов</t>
        </is>
      </c>
      <c r="C6" s="4" t="inlineStr">
        <is>
          <t>Коммьюнити, Telegram</t>
        </is>
      </c>
    </row>
    <row r="7">
      <c r="A7" s="4" t="inlineStr">
        <is>
          <t>Риск/совет</t>
        </is>
      </c>
      <c r="B7" s="4" t="inlineStr">
        <is>
          <t>Не экспериментировать на боевых данных</t>
        </is>
      </c>
      <c r="C7" s="4" t="inlineStr">
        <is>
          <t>Использовать тестовый портал</t>
        </is>
      </c>
    </row>
    <row r="8">
      <c r="A8" s="4" t="inlineStr">
        <is>
          <t>Риск/совет</t>
        </is>
      </c>
      <c r="B8" s="4" t="inlineStr">
        <is>
          <t>Фиксировать настройки (скриншоты, схемы БП)</t>
        </is>
      </c>
      <c r="C8" s="4" t="inlineStr">
        <is>
          <t>Основа будущих кейсов</t>
        </is>
      </c>
    </row>
    <row r="9">
      <c r="A9" s="4" t="inlineStr">
        <is>
          <t>Риск/совет</t>
        </is>
      </c>
      <c r="B9" s="4" t="inlineStr">
        <is>
          <t>Сначала процесс, потом автоматизация</t>
        </is>
      </c>
      <c r="C9" s="4" t="inlineStr">
        <is>
          <t>Не автоматизировать хаос</t>
        </is>
      </c>
    </row>
    <row r="10">
      <c r="A10" s="4" t="inlineStr">
        <is>
          <t>Риск/совет</t>
        </is>
      </c>
      <c r="B10" s="4" t="inlineStr">
        <is>
          <t>Согласовывать изменения с владельцами процессов</t>
        </is>
      </c>
      <c r="C10" s="4" t="inlineStr">
        <is>
          <t>Внутри компании</t>
        </is>
      </c>
    </row>
    <row r="11">
      <c r="A11" s="4" t="inlineStr">
        <is>
          <t>Примечание</t>
        </is>
      </c>
      <c r="B11" s="4" t="inlineStr">
        <is>
          <t>Названия сертификатов и условия партнёрства даны по памяти</t>
        </is>
      </c>
      <c r="C11" s="4" t="inlineStr">
        <is>
          <t>Сверить на partners.bitrix24.ru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2026-09-29T09:35:06Z</dcterms:created>
  <dcterms:modified xsi:type="dcterms:W3CDTF">2026-09-29T09:35:06Z</dcterms:modified>
</cp:coreProperties>
</file>