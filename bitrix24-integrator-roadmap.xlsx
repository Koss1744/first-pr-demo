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рожная карта" sheetId="1" state="visible" r:id="rId3"/>
    <sheet name="Чеклист" sheetId="2" state="visible" r:id="rId4"/>
    <sheet name="План по неделям" sheetId="3" state="visible" r:id="rId5"/>
    <sheet name="Ресурсы и риски" sheetId="4" state="visible" r:id="rId6"/>
  </sheets>
  <definedNames>
    <definedName function="false" hidden="true" localSheetId="1" name="_xlnm._FilterDatabase" vbProcedure="false">Чеклист!$A$1:$G$59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<sst xmlns="http://schemas.openxmlformats.org/spreadsheetml/2006/main" count="295" uniqueCount="164">
  <si>
    <t xml:space="preserve">Дорожная карта: как стать интегратором Битрикс24</t>
  </si>
  <si>
    <t xml:space="preserve">Полигон: оплаченный Битрикс24 компании + тестовый портал. Прогресс этапа считается автоматически из листа «Чеклист».</t>
  </si>
  <si>
    <t xml:space="preserve">№</t>
  </si>
  <si>
    <t xml:space="preserve">Этап</t>
  </si>
  <si>
    <t xml:space="preserve">Срок</t>
  </si>
  <si>
    <t xml:space="preserve">Что изучаем и делаем</t>
  </si>
  <si>
    <t xml:space="preserve">Результат</t>
  </si>
  <si>
    <t xml:space="preserve">Пунктов в чеклисте</t>
  </si>
  <si>
    <t xml:space="preserve">Выполнено</t>
  </si>
  <si>
    <t xml:space="preserve">Прогресс</t>
  </si>
  <si>
    <t xml:space="preserve">Подготовка</t>
  </si>
  <si>
    <t xml:space="preserve">1 нед</t>
  </si>
  <si>
    <t xml:space="preserve">Права администратора; проверить тариф и лимиты; тестовый портал; аккаунты в Академии и partners.bitrix24.ru; сообщества</t>
  </si>
  <si>
    <t xml:space="preserve">Тестовый портал, документ «текущее состояние»</t>
  </si>
  <si>
    <t xml:space="preserve">Продукт глазами пользователя</t>
  </si>
  <si>
    <t xml:space="preserve">3-4 нед</t>
  </si>
  <si>
    <t xml:space="preserve">Задачи и проекты, CRM, чат/видео/календарь/диск, открытые линии, сайты и формы, HR, аналитика, мобильное приложение</t>
  </si>
  <si>
    <t xml:space="preserve">Пройдены все модули, список идей улучшений</t>
  </si>
  <si>
    <t xml:space="preserve">Администрирование</t>
  </si>
  <si>
    <t xml:space="preserve">Структура и роли, права доступа, группы и экстранет, безопасность (2FA, IP, журнал), импорт/экспорт, тарифы и Маркет</t>
  </si>
  <si>
    <t xml:space="preserve">Чистая структура и права на портале</t>
  </si>
  <si>
    <t xml:space="preserve">Автоматизация без кода</t>
  </si>
  <si>
    <t xml:space="preserve">4-6 нед</t>
  </si>
  <si>
    <t xml:space="preserve">Воронки и поля, роботы и триггеры, бизнес-процессы, смарт-процессы, шаблоны документов, SLA, отчёты и BI</t>
  </si>
  <si>
    <t xml:space="preserve">3 автоматизированных процесса</t>
  </si>
  <si>
    <t xml:space="preserve">Интеграции</t>
  </si>
  <si>
    <t xml:space="preserve">4 нед</t>
  </si>
  <si>
    <t xml:space="preserve">Почта, телефония, мессенджеры, CRM-формы, 1С, платежи, Make/n8n, Маркет vs кастом</t>
  </si>
  <si>
    <t xml:space="preserve">Единое окно коммуникаций</t>
  </si>
  <si>
    <t xml:space="preserve">Разработка (REST API)</t>
  </si>
  <si>
    <t xml:space="preserve">6-8 нед</t>
  </si>
  <si>
    <t xml:space="preserve">Вебхуки, REST (crm.*, tasks.*, bizproc.*), OAuth, локальные приложения, роботы БП, placement, event.bind, batch и лимиты</t>
  </si>
  <si>
    <t xml:space="preserve">3 dev-проекта в git</t>
  </si>
  <si>
    <t xml:space="preserve">Методология внедрения</t>
  </si>
  <si>
    <t xml:space="preserve">3 нед</t>
  </si>
  <si>
    <t xml:space="preserve">Обследование, карта процессов, ТЗ, пилот, обучение, управление изменениями, оценка и КП, приёмка</t>
  </si>
  <si>
    <t xml:space="preserve">Пакет шаблонов ТЗ/КП/обучения</t>
  </si>
  <si>
    <t xml:space="preserve">Сертификация и рынок</t>
  </si>
  <si>
    <t xml:space="preserve">постоянно</t>
  </si>
  <si>
    <t xml:space="preserve">Сертификаты Академии, статус партнёра, портфолио, отзывы, первые платные проекты</t>
  </si>
  <si>
    <t xml:space="preserve">Статус интегратора, первый клиент</t>
  </si>
  <si>
    <t xml:space="preserve">Итого</t>
  </si>
  <si>
    <t xml:space="preserve">Этап №</t>
  </si>
  <si>
    <t xml:space="preserve">Блок</t>
  </si>
  <si>
    <t xml:space="preserve">Навык / задача</t>
  </si>
  <si>
    <t xml:space="preserve">Статус</t>
  </si>
  <si>
    <t xml:space="preserve">Дата</t>
  </si>
  <si>
    <t xml:space="preserve">Заметки / доказательство</t>
  </si>
  <si>
    <t xml:space="preserve">Получены права администратора на рабочем портале</t>
  </si>
  <si>
    <t xml:space="preserve">Не начато</t>
  </si>
  <si>
    <t xml:space="preserve">Выяснен тариф и лимиты (пользователи, диск, роботы, REST)</t>
  </si>
  <si>
    <t xml:space="preserve">Создан тестовый портал</t>
  </si>
  <si>
    <t xml:space="preserve">Заведены аккаунты в Академии и на partners.bitrix24.ru</t>
  </si>
  <si>
    <t xml:space="preserve">Найдены сообщества и чаты интеграторов</t>
  </si>
  <si>
    <t xml:space="preserve">Продукт</t>
  </si>
  <si>
    <t xml:space="preserve">Освоена CRM: лиды, сделки, контакты, компании</t>
  </si>
  <si>
    <t xml:space="preserve">Освоены открытые линии и контакт-центр</t>
  </si>
  <si>
    <t xml:space="preserve">Освоены сайты, CRM-формы, онлайн-магазин</t>
  </si>
  <si>
    <t xml:space="preserve">Освоены HR, склад, документы/Sign</t>
  </si>
  <si>
    <t xml:space="preserve">Освоены мобильное и десктопное приложения</t>
  </si>
  <si>
    <t xml:space="preserve">Освоены отчёты и аналитика</t>
  </si>
  <si>
    <t xml:space="preserve">Настраиваю задачи, шаблоны, Scrum/Канбан</t>
  </si>
  <si>
    <t xml:space="preserve">Знаю календарь, диск, чат, видеозвонки</t>
  </si>
  <si>
    <t xml:space="preserve">Знаю тарифы и ограничения, могу подобрать тариф</t>
  </si>
  <si>
    <t xml:space="preserve">Настраиваю структуру компании и права доступа</t>
  </si>
  <si>
    <t xml:space="preserve">Настраиваю рабочие группы, проекты, экстранет</t>
  </si>
  <si>
    <t xml:space="preserve">Настраиваю безопасность (2FA, IP, журнал)</t>
  </si>
  <si>
    <t xml:space="preserve">Импорт/экспорт данных (CSV, Excel)</t>
  </si>
  <si>
    <t xml:space="preserve">CRM</t>
  </si>
  <si>
    <t xml:space="preserve">Настроил воронки, стадии, причины отказа</t>
  </si>
  <si>
    <t xml:space="preserve">Настроил пользовательские поля и справочники</t>
  </si>
  <si>
    <t xml:space="preserve">Настроил проверку и объединение дублей</t>
  </si>
  <si>
    <t xml:space="preserve">Настроил товары, каталог, счета, КП</t>
  </si>
  <si>
    <t xml:space="preserve">Настроил роли и права в CRM</t>
  </si>
  <si>
    <t xml:space="preserve">Настроил отчёты, аналитику, дашборды</t>
  </si>
  <si>
    <t xml:space="preserve">Настроил рассылки и CRM-маркетинг</t>
  </si>
  <si>
    <t xml:space="preserve">Автоматизация</t>
  </si>
  <si>
    <t xml:space="preserve">Роботы и триггеры в лидах и сделках</t>
  </si>
  <si>
    <t xml:space="preserve">Бизнес-процесс с согласованием</t>
  </si>
  <si>
    <t xml:space="preserve">Смарт-процесс со своими стадиями и полями</t>
  </si>
  <si>
    <t xml:space="preserve">Шаблоны документов и генерация из CRM</t>
  </si>
  <si>
    <t xml:space="preserve">SLA и эскалации</t>
  </si>
  <si>
    <t xml:space="preserve">Шаблоны БП для Живой ленты (заявка, отпуск, командировка)</t>
  </si>
  <si>
    <t xml:space="preserve">Подключил почту и календарь</t>
  </si>
  <si>
    <t xml:space="preserve">Подключил телефонию и записи звонков</t>
  </si>
  <si>
    <t xml:space="preserve">Подключил открытые линии (мессенджеры, сайт)</t>
  </si>
  <si>
    <t xml:space="preserve">CRM-формы и передача UTM / сквозная аналитика</t>
  </si>
  <si>
    <t xml:space="preserve">Знаю варианты интеграции с 1С и умею выбирать</t>
  </si>
  <si>
    <t xml:space="preserve">Связка сервисов через Make/n8n</t>
  </si>
  <si>
    <t xml:space="preserve">Умею оценивать приложения Маркета</t>
  </si>
  <si>
    <t xml:space="preserve">Разработка</t>
  </si>
  <si>
    <t xml:space="preserve">Вызов REST через входящий вебхук (crm.lead.add, crm.deal.list)</t>
  </si>
  <si>
    <t xml:space="preserve">Исходящий вебхук и обработка события</t>
  </si>
  <si>
    <t xml:space="preserve">Локальное приложение с OAuth</t>
  </si>
  <si>
    <t xml:space="preserve">Использую batch и учитываю лимиты</t>
  </si>
  <si>
    <t xml:space="preserve">Собственный робот/активити для БП</t>
  </si>
  <si>
    <t xml:space="preserve">Встройка (placement) в интерфейс</t>
  </si>
  <si>
    <t xml:space="preserve">Отладка, логирование, безопасное хранение токенов</t>
  </si>
  <si>
    <t xml:space="preserve">Развёртывание приложения по HTTPS</t>
  </si>
  <si>
    <t xml:space="preserve">Методология</t>
  </si>
  <si>
    <t xml:space="preserve">Обследование и описание процессов</t>
  </si>
  <si>
    <t xml:space="preserve">ТЗ и оценка сроков</t>
  </si>
  <si>
    <t xml:space="preserve">Обучение и инструкции для пользователей</t>
  </si>
  <si>
    <t xml:space="preserve">Ведение проекта: этапы, риски, приёмка</t>
  </si>
  <si>
    <t xml:space="preserve">Договор, SLA, порядок поддержки</t>
  </si>
  <si>
    <t xml:space="preserve">Расчёт окупаемости внедрения</t>
  </si>
  <si>
    <t xml:space="preserve">Пройдено обучение в Академии Битрикс24</t>
  </si>
  <si>
    <t xml:space="preserve">Получены сертификаты</t>
  </si>
  <si>
    <t xml:space="preserve">≥3 кейса на внутреннем портале</t>
  </si>
  <si>
    <t xml:space="preserve">Портфолио и отзывы</t>
  </si>
  <si>
    <t xml:space="preserve">Статус партнёра (если целесообразно)</t>
  </si>
  <si>
    <t xml:space="preserve">Первый внешний клиент</t>
  </si>
  <si>
    <t xml:space="preserve">Легенда: меняйте только синие ячейки в колонке «Статус» (выпадающий список), дату и заметки.</t>
  </si>
  <si>
    <t xml:space="preserve">Недели</t>
  </si>
  <si>
    <t xml:space="preserve">Задача на портале</t>
  </si>
  <si>
    <t xml:space="preserve">Заметки</t>
  </si>
  <si>
    <t xml:space="preserve">1</t>
  </si>
  <si>
    <t xml:space="preserve">Аудит портала: тариф, пользователи, права, что настроено</t>
  </si>
  <si>
    <t xml:space="preserve">Документ «текущее состояние»</t>
  </si>
  <si>
    <t xml:space="preserve">2-4</t>
  </si>
  <si>
    <t xml:space="preserve">Пройти все модули, заполнить чеклист «Продукт»</t>
  </si>
  <si>
    <t xml:space="preserve">Заметки, вопросы, идеи</t>
  </si>
  <si>
    <t xml:space="preserve">5-6</t>
  </si>
  <si>
    <t xml:space="preserve">Навести порядок в структуре, правах, полях CRM</t>
  </si>
  <si>
    <t xml:space="preserve">Чистая настройка</t>
  </si>
  <si>
    <t xml:space="preserve">7-10</t>
  </si>
  <si>
    <t xml:space="preserve">Автоматизировать 3 процесса (роботы + БП)</t>
  </si>
  <si>
    <t xml:space="preserve">3 работающих кейса</t>
  </si>
  <si>
    <t xml:space="preserve">11-14</t>
  </si>
  <si>
    <t xml:space="preserve">Подключить почту, телефонию, форму, мессенджер</t>
  </si>
  <si>
    <t xml:space="preserve">15-20</t>
  </si>
  <si>
    <t xml:space="preserve">Вебхуки, REST, локальное приложение, свой робот</t>
  </si>
  <si>
    <t xml:space="preserve">21-24</t>
  </si>
  <si>
    <t xml:space="preserve">Методика внедрения: шаблоны ТЗ, КП, обучения</t>
  </si>
  <si>
    <t xml:space="preserve">Пакет документов</t>
  </si>
  <si>
    <t xml:space="preserve">25+</t>
  </si>
  <si>
    <t xml:space="preserve">Сертификация, портфолио, первые внешние проекты</t>
  </si>
  <si>
    <t xml:space="preserve">Статус интегратора</t>
  </si>
  <si>
    <t xml:space="preserve">Тип</t>
  </si>
  <si>
    <t xml:space="preserve">Что</t>
  </si>
  <si>
    <t xml:space="preserve">Где</t>
  </si>
  <si>
    <t xml:space="preserve">Ресурс</t>
  </si>
  <si>
    <t xml:space="preserve">Академия Битрикс24 (курсы, экзамены)</t>
  </si>
  <si>
    <t xml:space="preserve">academy.bitrix24.ru / training.bitrix24.com</t>
  </si>
  <si>
    <t xml:space="preserve">Документация REST API</t>
  </si>
  <si>
    <t xml:space="preserve">apidocs.bitrix24.ru</t>
  </si>
  <si>
    <t xml:space="preserve">Портал партнёров</t>
  </si>
  <si>
    <t xml:space="preserve">partners.bitrix24.ru</t>
  </si>
  <si>
    <t xml:space="preserve">Маркет приложений</t>
  </si>
  <si>
    <t xml:space="preserve">bitrix24.ru/apps</t>
  </si>
  <si>
    <t xml:space="preserve">Сообщества и чаты интеграторов</t>
  </si>
  <si>
    <t xml:space="preserve">Коммьюнити, Telegram</t>
  </si>
  <si>
    <t xml:space="preserve">Риск/совет</t>
  </si>
  <si>
    <t xml:space="preserve">Не экспериментировать на боевых данных</t>
  </si>
  <si>
    <t xml:space="preserve">Использовать тестовый портал</t>
  </si>
  <si>
    <t xml:space="preserve">Фиксировать настройки (скриншоты, схемы БП)</t>
  </si>
  <si>
    <t xml:space="preserve">Основа будущих кейсов</t>
  </si>
  <si>
    <t xml:space="preserve">Сначала процесс, потом автоматизация</t>
  </si>
  <si>
    <t xml:space="preserve">Не автоматизировать хаос</t>
  </si>
  <si>
    <t xml:space="preserve">Согласовывать изменения с владельцами процессов</t>
  </si>
  <si>
    <t xml:space="preserve">Внутри компании</t>
  </si>
  <si>
    <t xml:space="preserve">Примечание</t>
  </si>
  <si>
    <t xml:space="preserve">Названия сертификатов и условия партнёрства даны по памяти</t>
  </si>
  <si>
    <t xml:space="preserve">Сверить на partners.bitrix24.ru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</si>
</sst>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\.mm\.yyyy"/>
    <numFmt numFmtId="167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70"/>
    <col collapsed="false" customWidth="true" hidden="false" outlineLevel="0" max="5" min="5" style="0" width="3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3.85" hidden="false" customHeight="false" outlineLevel="0" collapsed="false">
      <c r="A5" s="4" t="n">
        <v>0</v>
      </c>
      <c r="B5" s="4" t="s">
        <v>10</v>
      </c>
      <c r="C5" s="4" t="s">
        <v>11</v>
      </c>
      <c r="D5" s="4" t="s">
        <v>12</v>
      </c>
      <c r="E5" s="4" t="s">
        <v>13</v>
      </c>
      <c r="F5" s="4" t="n">
        <f aca="false">COUNTIF(Чеклист!$A:$A,A5)</f>
        <v>5</v>
      </c>
      <c r="G5" s="4" t="n">
        <f aca="false">COUNTIFS(Чеклист!$A:$A,A5,Чеклист!$E:$E,"Готово")</f>
        <v>0</v>
      </c>
      <c r="H5" s="5" t="n">
        <f aca="false">IF(F5=0,0,G5/F5)</f>
        <v>0</v>
      </c>
    </row>
    <row r="6" customFormat="false" ht="23.85" hidden="false" customHeight="false" outlineLevel="0" collapsed="false">
      <c r="A6" s="4" t="n">
        <v>1</v>
      </c>
      <c r="B6" s="4" t="s">
        <v>14</v>
      </c>
      <c r="C6" s="4" t="s">
        <v>15</v>
      </c>
      <c r="D6" s="4" t="s">
        <v>16</v>
      </c>
      <c r="E6" s="4" t="s">
        <v>17</v>
      </c>
      <c r="F6" s="4" t="n">
        <f aca="false">COUNTIF(Чеклист!$A:$A,A6)</f>
        <v>8</v>
      </c>
      <c r="G6" s="4" t="n">
        <f aca="false">COUNTIFS(Чеклист!$A:$A,A6,Чеклист!$E:$E,"Готово")</f>
        <v>0</v>
      </c>
      <c r="H6" s="5" t="n">
        <f aca="false">IF(F6=0,0,G6/F6)</f>
        <v>0</v>
      </c>
    </row>
    <row r="7" customFormat="false" ht="23.85" hidden="false" customHeight="false" outlineLevel="0" collapsed="false">
      <c r="A7" s="4" t="n">
        <v>2</v>
      </c>
      <c r="B7" s="4" t="s">
        <v>18</v>
      </c>
      <c r="C7" s="4" t="s">
        <v>15</v>
      </c>
      <c r="D7" s="4" t="s">
        <v>19</v>
      </c>
      <c r="E7" s="4" t="s">
        <v>20</v>
      </c>
      <c r="F7" s="4" t="n">
        <f aca="false">COUNTIF(Чеклист!$A:$A,A7)</f>
        <v>5</v>
      </c>
      <c r="G7" s="4" t="n">
        <f aca="false">COUNTIFS(Чеклист!$A:$A,A7,Чеклист!$E:$E,"Готово")</f>
        <v>0</v>
      </c>
      <c r="H7" s="5" t="n">
        <f aca="false">IF(F7=0,0,G7/F7)</f>
        <v>0</v>
      </c>
    </row>
    <row r="8" customFormat="false" ht="23.85" hidden="false" customHeight="false" outlineLevel="0" collapsed="false">
      <c r="A8" s="4" t="n">
        <v>3</v>
      </c>
      <c r="B8" s="4" t="s">
        <v>21</v>
      </c>
      <c r="C8" s="4" t="s">
        <v>22</v>
      </c>
      <c r="D8" s="4" t="s">
        <v>23</v>
      </c>
      <c r="E8" s="4" t="s">
        <v>24</v>
      </c>
      <c r="F8" s="4" t="n">
        <f aca="false">COUNTIF(Чеклист!$A:$A,A8)</f>
        <v>13</v>
      </c>
      <c r="G8" s="4" t="n">
        <f aca="false">COUNTIFS(Чеклист!$A:$A,A8,Чеклист!$E:$E,"Готово")</f>
        <v>0</v>
      </c>
      <c r="H8" s="5" t="n">
        <f aca="false">IF(F8=0,0,G8/F8)</f>
        <v>0</v>
      </c>
    </row>
    <row r="9" customFormat="false" ht="15" hidden="false" customHeight="false" outlineLevel="0" collapsed="false">
      <c r="A9" s="4" t="n">
        <v>4</v>
      </c>
      <c r="B9" s="4" t="s">
        <v>25</v>
      </c>
      <c r="C9" s="4" t="s">
        <v>26</v>
      </c>
      <c r="D9" s="4" t="s">
        <v>27</v>
      </c>
      <c r="E9" s="4" t="s">
        <v>28</v>
      </c>
      <c r="F9" s="4" t="n">
        <f aca="false">COUNTIF(Чеклист!$A:$A,A9)</f>
        <v>7</v>
      </c>
      <c r="G9" s="4" t="n">
        <f aca="false">COUNTIFS(Чеклист!$A:$A,A9,Чеклист!$E:$E,"Готово")</f>
        <v>0</v>
      </c>
      <c r="H9" s="5" t="n">
        <f aca="false">IF(F9=0,0,G9/F9)</f>
        <v>0</v>
      </c>
    </row>
    <row r="10" customFormat="false" ht="23.85" hidden="false" customHeight="false" outlineLevel="0" collapsed="false">
      <c r="A10" s="4" t="n">
        <v>5</v>
      </c>
      <c r="B10" s="4" t="s">
        <v>29</v>
      </c>
      <c r="C10" s="4" t="s">
        <v>30</v>
      </c>
      <c r="D10" s="4" t="s">
        <v>31</v>
      </c>
      <c r="E10" s="4" t="s">
        <v>32</v>
      </c>
      <c r="F10" s="4" t="n">
        <f aca="false">COUNTIF(Чеклист!$A:$A,A10)</f>
        <v>8</v>
      </c>
      <c r="G10" s="4" t="n">
        <f aca="false">COUNTIFS(Чеклист!$A:$A,A10,Чеклист!$E:$E,"Готово")</f>
        <v>0</v>
      </c>
      <c r="H10" s="5" t="n">
        <f aca="false">IF(F10=0,0,G10/F10)</f>
        <v>0</v>
      </c>
    </row>
    <row r="11" customFormat="false" ht="15" hidden="false" customHeight="false" outlineLevel="0" collapsed="false">
      <c r="A11" s="4" t="n">
        <v>6</v>
      </c>
      <c r="B11" s="4" t="s">
        <v>33</v>
      </c>
      <c r="C11" s="4" t="s">
        <v>34</v>
      </c>
      <c r="D11" s="4" t="s">
        <v>35</v>
      </c>
      <c r="E11" s="4" t="s">
        <v>36</v>
      </c>
      <c r="F11" s="4" t="n">
        <f aca="false">COUNTIF(Чеклист!$A:$A,A11)</f>
        <v>6</v>
      </c>
      <c r="G11" s="4" t="n">
        <f aca="false">COUNTIFS(Чеклист!$A:$A,A11,Чеклист!$E:$E,"Готово")</f>
        <v>0</v>
      </c>
      <c r="H11" s="5" t="n">
        <f aca="false">IF(F11=0,0,G11/F11)</f>
        <v>0</v>
      </c>
    </row>
    <row r="12" customFormat="false" ht="15" hidden="false" customHeight="false" outlineLevel="0" collapsed="false">
      <c r="A12" s="4" t="n">
        <v>7</v>
      </c>
      <c r="B12" s="4" t="s">
        <v>37</v>
      </c>
      <c r="C12" s="4" t="s">
        <v>38</v>
      </c>
      <c r="D12" s="4" t="s">
        <v>39</v>
      </c>
      <c r="E12" s="4" t="s">
        <v>40</v>
      </c>
      <c r="F12" s="4" t="n">
        <f aca="false">COUNTIF(Чеклист!$A:$A,A12)</f>
        <v>6</v>
      </c>
      <c r="G12" s="4" t="n">
        <f aca="false">COUNTIFS(Чеклист!$A:$A,A12,Чеклист!$E:$E,"Готово")</f>
        <v>0</v>
      </c>
      <c r="H12" s="5" t="n">
        <f aca="false">IF(F12=0,0,G12/F12)</f>
        <v>0</v>
      </c>
    </row>
    <row r="14" customFormat="false" ht="15" hidden="false" customHeight="false" outlineLevel="0" collapsed="false">
      <c r="B14" s="6" t="s">
        <v>41</v>
      </c>
      <c r="F14" s="6" t="n">
        <f aca="false">SUM(F5:F12)</f>
        <v>58</v>
      </c>
      <c r="G14" s="6" t="n">
        <f aca="false">SUM(G5:G12)</f>
        <v>0</v>
      </c>
      <c r="H14" s="7" t="n">
        <f aca="false">IF(F14=0,0,G14/F14)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62"/>
    <col collapsed="false" customWidth="true" hidden="false" outlineLevel="0" max="4" min="4" style="0" width="28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3" t="s">
        <v>42</v>
      </c>
      <c r="B1" s="3" t="s">
        <v>43</v>
      </c>
      <c r="C1" s="3" t="s">
        <v>44</v>
      </c>
      <c r="D1" s="3" t="s">
        <v>3</v>
      </c>
      <c r="E1" s="3" t="s">
        <v>45</v>
      </c>
      <c r="F1" s="3" t="s">
        <v>46</v>
      </c>
      <c r="G1" s="3" t="s">
        <v>47</v>
      </c>
    </row>
    <row r="2" customFormat="false" ht="15" hidden="false" customHeight="false" outlineLevel="0" collapsed="false">
      <c r="A2" s="4" t="n">
        <v>0</v>
      </c>
      <c r="B2" s="4" t="s">
        <v>10</v>
      </c>
      <c r="C2" s="4" t="s">
        <v>48</v>
      </c>
      <c r="D2" s="4" t="str">
        <f aca="false">INDEX('Дорожная карта'!$B$5:$B$12,MATCH(A2,'Дорожная карта'!$A$5:$A$12,0))</f>
        <v>Подготовка</v>
      </c>
      <c r="E2" s="8" t="s">
        <v>49</v>
      </c>
      <c r="F2" s="9"/>
      <c r="G2" s="4"/>
    </row>
    <row r="3" customFormat="false" ht="15" hidden="false" customHeight="false" outlineLevel="0" collapsed="false">
      <c r="A3" s="4" t="n">
        <v>0</v>
      </c>
      <c r="B3" s="4" t="s">
        <v>10</v>
      </c>
      <c r="C3" s="4" t="s">
        <v>50</v>
      </c>
      <c r="D3" s="4" t="str">
        <f aca="false">INDEX('Дорожная карта'!$B$5:$B$12,MATCH(A3,'Дорожная карта'!$A$5:$A$12,0))</f>
        <v>Подготовка</v>
      </c>
      <c r="E3" s="8" t="s">
        <v>49</v>
      </c>
      <c r="F3" s="9"/>
      <c r="G3" s="4"/>
    </row>
    <row r="4" customFormat="false" ht="15" hidden="false" customHeight="false" outlineLevel="0" collapsed="false">
      <c r="A4" s="4" t="n">
        <v>0</v>
      </c>
      <c r="B4" s="4" t="s">
        <v>10</v>
      </c>
      <c r="C4" s="4" t="s">
        <v>51</v>
      </c>
      <c r="D4" s="4" t="str">
        <f aca="false">INDEX('Дорожная карта'!$B$5:$B$12,MATCH(A4,'Дорожная карта'!$A$5:$A$12,0))</f>
        <v>Подготовка</v>
      </c>
      <c r="E4" s="8" t="s">
        <v>49</v>
      </c>
      <c r="F4" s="9"/>
      <c r="G4" s="4"/>
    </row>
    <row r="5" customFormat="false" ht="15" hidden="false" customHeight="false" outlineLevel="0" collapsed="false">
      <c r="A5" s="4" t="n">
        <v>0</v>
      </c>
      <c r="B5" s="4" t="s">
        <v>10</v>
      </c>
      <c r="C5" s="4" t="s">
        <v>52</v>
      </c>
      <c r="D5" s="4" t="str">
        <f aca="false">INDEX('Дорожная карта'!$B$5:$B$12,MATCH(A5,'Дорожная карта'!$A$5:$A$12,0))</f>
        <v>Подготовка</v>
      </c>
      <c r="E5" s="8" t="s">
        <v>49</v>
      </c>
      <c r="F5" s="9"/>
      <c r="G5" s="4"/>
    </row>
    <row r="6" customFormat="false" ht="15" hidden="false" customHeight="false" outlineLevel="0" collapsed="false">
      <c r="A6" s="4" t="n">
        <v>0</v>
      </c>
      <c r="B6" s="4" t="s">
        <v>10</v>
      </c>
      <c r="C6" s="4" t="s">
        <v>53</v>
      </c>
      <c r="D6" s="4" t="str">
        <f aca="false">INDEX('Дорожная карта'!$B$5:$B$12,MATCH(A6,'Дорожная карта'!$A$5:$A$12,0))</f>
        <v>Подготовка</v>
      </c>
      <c r="E6" s="8" t="s">
        <v>49</v>
      </c>
      <c r="F6" s="9"/>
      <c r="G6" s="4"/>
    </row>
    <row r="7" customFormat="false" ht="15" hidden="false" customHeight="false" outlineLevel="0" collapsed="false">
      <c r="A7" s="4" t="n">
        <v>1</v>
      </c>
      <c r="B7" s="4" t="s">
        <v>54</v>
      </c>
      <c r="C7" s="4" t="s">
        <v>55</v>
      </c>
      <c r="D7" s="4" t="str">
        <f aca="false">INDEX('Дорожная карта'!$B$5:$B$12,MATCH(A7,'Дорожная карта'!$A$5:$A$12,0))</f>
        <v>Продукт глазами пользователя</v>
      </c>
      <c r="E7" s="8" t="s">
        <v>49</v>
      </c>
      <c r="F7" s="9"/>
      <c r="G7" s="4"/>
    </row>
    <row r="8" customFormat="false" ht="15" hidden="false" customHeight="false" outlineLevel="0" collapsed="false">
      <c r="A8" s="4" t="n">
        <v>1</v>
      </c>
      <c r="B8" s="4" t="s">
        <v>54</v>
      </c>
      <c r="C8" s="4" t="s">
        <v>56</v>
      </c>
      <c r="D8" s="4" t="str">
        <f aca="false">INDEX('Дорожная карта'!$B$5:$B$12,MATCH(A8,'Дорожная карта'!$A$5:$A$12,0))</f>
        <v>Продукт глазами пользователя</v>
      </c>
      <c r="E8" s="8" t="s">
        <v>49</v>
      </c>
      <c r="F8" s="9"/>
      <c r="G8" s="4"/>
    </row>
    <row r="9" customFormat="false" ht="15" hidden="false" customHeight="false" outlineLevel="0" collapsed="false">
      <c r="A9" s="4" t="n">
        <v>1</v>
      </c>
      <c r="B9" s="4" t="s">
        <v>54</v>
      </c>
      <c r="C9" s="4" t="s">
        <v>57</v>
      </c>
      <c r="D9" s="4" t="str">
        <f aca="false">INDEX('Дорожная карта'!$B$5:$B$12,MATCH(A9,'Дорожная карта'!$A$5:$A$12,0))</f>
        <v>Продукт глазами пользователя</v>
      </c>
      <c r="E9" s="8" t="s">
        <v>49</v>
      </c>
      <c r="F9" s="9"/>
      <c r="G9" s="4"/>
    </row>
    <row r="10" customFormat="false" ht="15" hidden="false" customHeight="false" outlineLevel="0" collapsed="false">
      <c r="A10" s="4" t="n">
        <v>1</v>
      </c>
      <c r="B10" s="4" t="s">
        <v>54</v>
      </c>
      <c r="C10" s="4" t="s">
        <v>58</v>
      </c>
      <c r="D10" s="4" t="str">
        <f aca="false">INDEX('Дорожная карта'!$B$5:$B$12,MATCH(A10,'Дорожная карта'!$A$5:$A$12,0))</f>
        <v>Продукт глазами пользователя</v>
      </c>
      <c r="E10" s="8" t="s">
        <v>49</v>
      </c>
      <c r="F10" s="9"/>
      <c r="G10" s="4"/>
    </row>
    <row r="11" customFormat="false" ht="15" hidden="false" customHeight="false" outlineLevel="0" collapsed="false">
      <c r="A11" s="4" t="n">
        <v>1</v>
      </c>
      <c r="B11" s="4" t="s">
        <v>54</v>
      </c>
      <c r="C11" s="4" t="s">
        <v>59</v>
      </c>
      <c r="D11" s="4" t="str">
        <f aca="false">INDEX('Дорожная карта'!$B$5:$B$12,MATCH(A11,'Дорожная карта'!$A$5:$A$12,0))</f>
        <v>Продукт глазами пользователя</v>
      </c>
      <c r="E11" s="8" t="s">
        <v>49</v>
      </c>
      <c r="F11" s="9"/>
      <c r="G11" s="4"/>
    </row>
    <row r="12" customFormat="false" ht="15" hidden="false" customHeight="false" outlineLevel="0" collapsed="false">
      <c r="A12" s="4" t="n">
        <v>1</v>
      </c>
      <c r="B12" s="4" t="s">
        <v>54</v>
      </c>
      <c r="C12" s="4" t="s">
        <v>60</v>
      </c>
      <c r="D12" s="4" t="str">
        <f aca="false">INDEX('Дорожная карта'!$B$5:$B$12,MATCH(A12,'Дорожная карта'!$A$5:$A$12,0))</f>
        <v>Продукт глазами пользователя</v>
      </c>
      <c r="E12" s="8" t="s">
        <v>49</v>
      </c>
      <c r="F12" s="9"/>
      <c r="G12" s="4"/>
    </row>
    <row r="13" customFormat="false" ht="15" hidden="false" customHeight="false" outlineLevel="0" collapsed="false">
      <c r="A13" s="4" t="n">
        <v>1</v>
      </c>
      <c r="B13" s="4" t="s">
        <v>54</v>
      </c>
      <c r="C13" s="4" t="s">
        <v>61</v>
      </c>
      <c r="D13" s="4" t="str">
        <f aca="false">INDEX('Дорожная карта'!$B$5:$B$12,MATCH(A13,'Дорожная карта'!$A$5:$A$12,0))</f>
        <v>Продукт глазами пользователя</v>
      </c>
      <c r="E13" s="8" t="s">
        <v>49</v>
      </c>
      <c r="F13" s="9"/>
      <c r="G13" s="4"/>
    </row>
    <row r="14" customFormat="false" ht="15" hidden="false" customHeight="false" outlineLevel="0" collapsed="false">
      <c r="A14" s="4" t="n">
        <v>1</v>
      </c>
      <c r="B14" s="4" t="s">
        <v>54</v>
      </c>
      <c r="C14" s="4" t="s">
        <v>62</v>
      </c>
      <c r="D14" s="4" t="str">
        <f aca="false">INDEX('Дорожная карта'!$B$5:$B$12,MATCH(A14,'Дорожная карта'!$A$5:$A$12,0))</f>
        <v>Продукт глазами пользователя</v>
      </c>
      <c r="E14" s="8" t="s">
        <v>49</v>
      </c>
      <c r="F14" s="9"/>
      <c r="G14" s="4"/>
    </row>
    <row r="15" customFormat="false" ht="15" hidden="false" customHeight="false" outlineLevel="0" collapsed="false">
      <c r="A15" s="4" t="n">
        <v>2</v>
      </c>
      <c r="B15" s="4" t="s">
        <v>18</v>
      </c>
      <c r="C15" s="4" t="s">
        <v>63</v>
      </c>
      <c r="D15" s="4" t="str">
        <f aca="false">INDEX('Дорожная карта'!$B$5:$B$12,MATCH(A15,'Дорожная карта'!$A$5:$A$12,0))</f>
        <v>Администрирование</v>
      </c>
      <c r="E15" s="8" t="s">
        <v>49</v>
      </c>
      <c r="F15" s="9"/>
      <c r="G15" s="4"/>
    </row>
    <row r="16" customFormat="false" ht="15" hidden="false" customHeight="false" outlineLevel="0" collapsed="false">
      <c r="A16" s="4" t="n">
        <v>2</v>
      </c>
      <c r="B16" s="4" t="s">
        <v>18</v>
      </c>
      <c r="C16" s="4" t="s">
        <v>64</v>
      </c>
      <c r="D16" s="4" t="str">
        <f aca="false">INDEX('Дорожная карта'!$B$5:$B$12,MATCH(A16,'Дорожная карта'!$A$5:$A$12,0))</f>
        <v>Администрирование</v>
      </c>
      <c r="E16" s="8" t="s">
        <v>49</v>
      </c>
      <c r="F16" s="9"/>
      <c r="G16" s="4"/>
    </row>
    <row r="17" customFormat="false" ht="15" hidden="false" customHeight="false" outlineLevel="0" collapsed="false">
      <c r="A17" s="4" t="n">
        <v>2</v>
      </c>
      <c r="B17" s="4" t="s">
        <v>18</v>
      </c>
      <c r="C17" s="4" t="s">
        <v>65</v>
      </c>
      <c r="D17" s="4" t="str">
        <f aca="false">INDEX('Дорожная карта'!$B$5:$B$12,MATCH(A17,'Дорожная карта'!$A$5:$A$12,0))</f>
        <v>Администрирование</v>
      </c>
      <c r="E17" s="8" t="s">
        <v>49</v>
      </c>
      <c r="F17" s="9"/>
      <c r="G17" s="4"/>
    </row>
    <row r="18" customFormat="false" ht="15" hidden="false" customHeight="false" outlineLevel="0" collapsed="false">
      <c r="A18" s="4" t="n">
        <v>2</v>
      </c>
      <c r="B18" s="4" t="s">
        <v>18</v>
      </c>
      <c r="C18" s="4" t="s">
        <v>66</v>
      </c>
      <c r="D18" s="4" t="str">
        <f aca="false">INDEX('Дорожная карта'!$B$5:$B$12,MATCH(A18,'Дорожная карта'!$A$5:$A$12,0))</f>
        <v>Администрирование</v>
      </c>
      <c r="E18" s="8" t="s">
        <v>49</v>
      </c>
      <c r="F18" s="9"/>
      <c r="G18" s="4"/>
    </row>
    <row r="19" customFormat="false" ht="15" hidden="false" customHeight="false" outlineLevel="0" collapsed="false">
      <c r="A19" s="4" t="n">
        <v>2</v>
      </c>
      <c r="B19" s="4" t="s">
        <v>18</v>
      </c>
      <c r="C19" s="4" t="s">
        <v>67</v>
      </c>
      <c r="D19" s="4" t="str">
        <f aca="false">INDEX('Дорожная карта'!$B$5:$B$12,MATCH(A19,'Дорожная карта'!$A$5:$A$12,0))</f>
        <v>Администрирование</v>
      </c>
      <c r="E19" s="8" t="s">
        <v>49</v>
      </c>
      <c r="F19" s="9"/>
      <c r="G19" s="4"/>
    </row>
    <row r="20" customFormat="false" ht="15" hidden="false" customHeight="false" outlineLevel="0" collapsed="false">
      <c r="A20" s="4" t="n">
        <v>3</v>
      </c>
      <c r="B20" s="4" t="s">
        <v>68</v>
      </c>
      <c r="C20" s="4" t="s">
        <v>69</v>
      </c>
      <c r="D20" s="4" t="str">
        <f aca="false">INDEX('Дорожная карта'!$B$5:$B$12,MATCH(A20,'Дорожная карта'!$A$5:$A$12,0))</f>
        <v>Автоматизация без кода</v>
      </c>
      <c r="E20" s="8" t="s">
        <v>49</v>
      </c>
      <c r="F20" s="9"/>
      <c r="G20" s="4"/>
    </row>
    <row r="21" customFormat="false" ht="15" hidden="false" customHeight="false" outlineLevel="0" collapsed="false">
      <c r="A21" s="4" t="n">
        <v>3</v>
      </c>
      <c r="B21" s="4" t="s">
        <v>68</v>
      </c>
      <c r="C21" s="4" t="s">
        <v>70</v>
      </c>
      <c r="D21" s="4" t="str">
        <f aca="false">INDEX('Дорожная карта'!$B$5:$B$12,MATCH(A21,'Дорожная карта'!$A$5:$A$12,0))</f>
        <v>Автоматизация без кода</v>
      </c>
      <c r="E21" s="8" t="s">
        <v>49</v>
      </c>
      <c r="F21" s="9"/>
      <c r="G21" s="4"/>
    </row>
    <row r="22" customFormat="false" ht="15" hidden="false" customHeight="false" outlineLevel="0" collapsed="false">
      <c r="A22" s="4" t="n">
        <v>3</v>
      </c>
      <c r="B22" s="4" t="s">
        <v>68</v>
      </c>
      <c r="C22" s="4" t="s">
        <v>71</v>
      </c>
      <c r="D22" s="4" t="str">
        <f aca="false">INDEX('Дорожная карта'!$B$5:$B$12,MATCH(A22,'Дорожная карта'!$A$5:$A$12,0))</f>
        <v>Автоматизация без кода</v>
      </c>
      <c r="E22" s="8" t="s">
        <v>49</v>
      </c>
      <c r="F22" s="9"/>
      <c r="G22" s="4"/>
    </row>
    <row r="23" customFormat="false" ht="15" hidden="false" customHeight="false" outlineLevel="0" collapsed="false">
      <c r="A23" s="4" t="n">
        <v>3</v>
      </c>
      <c r="B23" s="4" t="s">
        <v>68</v>
      </c>
      <c r="C23" s="4" t="s">
        <v>72</v>
      </c>
      <c r="D23" s="4" t="str">
        <f aca="false">INDEX('Дорожная карта'!$B$5:$B$12,MATCH(A23,'Дорожная карта'!$A$5:$A$12,0))</f>
        <v>Автоматизация без кода</v>
      </c>
      <c r="E23" s="8" t="s">
        <v>49</v>
      </c>
      <c r="F23" s="9"/>
      <c r="G23" s="4"/>
    </row>
    <row r="24" customFormat="false" ht="15" hidden="false" customHeight="false" outlineLevel="0" collapsed="false">
      <c r="A24" s="4" t="n">
        <v>3</v>
      </c>
      <c r="B24" s="4" t="s">
        <v>68</v>
      </c>
      <c r="C24" s="4" t="s">
        <v>73</v>
      </c>
      <c r="D24" s="4" t="str">
        <f aca="false">INDEX('Дорожная карта'!$B$5:$B$12,MATCH(A24,'Дорожная карта'!$A$5:$A$12,0))</f>
        <v>Автоматизация без кода</v>
      </c>
      <c r="E24" s="8" t="s">
        <v>49</v>
      </c>
      <c r="F24" s="9"/>
      <c r="G24" s="4"/>
    </row>
    <row r="25" customFormat="false" ht="15" hidden="false" customHeight="false" outlineLevel="0" collapsed="false">
      <c r="A25" s="4" t="n">
        <v>3</v>
      </c>
      <c r="B25" s="4" t="s">
        <v>68</v>
      </c>
      <c r="C25" s="4" t="s">
        <v>74</v>
      </c>
      <c r="D25" s="4" t="str">
        <f aca="false">INDEX('Дорожная карта'!$B$5:$B$12,MATCH(A25,'Дорожная карта'!$A$5:$A$12,0))</f>
        <v>Автоматизация без кода</v>
      </c>
      <c r="E25" s="8" t="s">
        <v>49</v>
      </c>
      <c r="F25" s="9"/>
      <c r="G25" s="4"/>
    </row>
    <row r="26" customFormat="false" ht="15" hidden="false" customHeight="false" outlineLevel="0" collapsed="false">
      <c r="A26" s="4" t="n">
        <v>3</v>
      </c>
      <c r="B26" s="4" t="s">
        <v>68</v>
      </c>
      <c r="C26" s="4" t="s">
        <v>75</v>
      </c>
      <c r="D26" s="4" t="str">
        <f aca="false">INDEX('Дорожная карта'!$B$5:$B$12,MATCH(A26,'Дорожная карта'!$A$5:$A$12,0))</f>
        <v>Автоматизация без кода</v>
      </c>
      <c r="E26" s="8" t="s">
        <v>49</v>
      </c>
      <c r="F26" s="9"/>
      <c r="G26" s="4"/>
    </row>
    <row r="27" customFormat="false" ht="15" hidden="false" customHeight="false" outlineLevel="0" collapsed="false">
      <c r="A27" s="4" t="n">
        <v>3</v>
      </c>
      <c r="B27" s="4" t="s">
        <v>76</v>
      </c>
      <c r="C27" s="4" t="s">
        <v>77</v>
      </c>
      <c r="D27" s="4" t="str">
        <f aca="false">INDEX('Дорожная карта'!$B$5:$B$12,MATCH(A27,'Дорожная карта'!$A$5:$A$12,0))</f>
        <v>Автоматизация без кода</v>
      </c>
      <c r="E27" s="8" t="s">
        <v>49</v>
      </c>
      <c r="F27" s="9"/>
      <c r="G27" s="4"/>
    </row>
    <row r="28" customFormat="false" ht="15" hidden="false" customHeight="false" outlineLevel="0" collapsed="false">
      <c r="A28" s="4" t="n">
        <v>3</v>
      </c>
      <c r="B28" s="4" t="s">
        <v>76</v>
      </c>
      <c r="C28" s="4" t="s">
        <v>78</v>
      </c>
      <c r="D28" s="4" t="str">
        <f aca="false">INDEX('Дорожная карта'!$B$5:$B$12,MATCH(A28,'Дорожная карта'!$A$5:$A$12,0))</f>
        <v>Автоматизация без кода</v>
      </c>
      <c r="E28" s="8" t="s">
        <v>49</v>
      </c>
      <c r="F28" s="9"/>
      <c r="G28" s="4"/>
    </row>
    <row r="29" customFormat="false" ht="15" hidden="false" customHeight="false" outlineLevel="0" collapsed="false">
      <c r="A29" s="4" t="n">
        <v>3</v>
      </c>
      <c r="B29" s="4" t="s">
        <v>76</v>
      </c>
      <c r="C29" s="4" t="s">
        <v>79</v>
      </c>
      <c r="D29" s="4" t="str">
        <f aca="false">INDEX('Дорожная карта'!$B$5:$B$12,MATCH(A29,'Дорожная карта'!$A$5:$A$12,0))</f>
        <v>Автоматизация без кода</v>
      </c>
      <c r="E29" s="8" t="s">
        <v>49</v>
      </c>
      <c r="F29" s="9"/>
      <c r="G29" s="4"/>
    </row>
    <row r="30" customFormat="false" ht="15" hidden="false" customHeight="false" outlineLevel="0" collapsed="false">
      <c r="A30" s="4" t="n">
        <v>3</v>
      </c>
      <c r="B30" s="4" t="s">
        <v>76</v>
      </c>
      <c r="C30" s="4" t="s">
        <v>80</v>
      </c>
      <c r="D30" s="4" t="str">
        <f aca="false">INDEX('Дорожная карта'!$B$5:$B$12,MATCH(A30,'Дорожная карта'!$A$5:$A$12,0))</f>
        <v>Автоматизация без кода</v>
      </c>
      <c r="E30" s="8" t="s">
        <v>49</v>
      </c>
      <c r="F30" s="9"/>
      <c r="G30" s="4"/>
    </row>
    <row r="31" customFormat="false" ht="15" hidden="false" customHeight="false" outlineLevel="0" collapsed="false">
      <c r="A31" s="4" t="n">
        <v>3</v>
      </c>
      <c r="B31" s="4" t="s">
        <v>76</v>
      </c>
      <c r="C31" s="4" t="s">
        <v>81</v>
      </c>
      <c r="D31" s="4" t="str">
        <f aca="false">INDEX('Дорожная карта'!$B$5:$B$12,MATCH(A31,'Дорожная карта'!$A$5:$A$12,0))</f>
        <v>Автоматизация без кода</v>
      </c>
      <c r="E31" s="8" t="s">
        <v>49</v>
      </c>
      <c r="F31" s="9"/>
      <c r="G31" s="4"/>
    </row>
    <row r="32" customFormat="false" ht="15" hidden="false" customHeight="false" outlineLevel="0" collapsed="false">
      <c r="A32" s="4" t="n">
        <v>3</v>
      </c>
      <c r="B32" s="4" t="s">
        <v>76</v>
      </c>
      <c r="C32" s="4" t="s">
        <v>82</v>
      </c>
      <c r="D32" s="4" t="str">
        <f aca="false">INDEX('Дорожная карта'!$B$5:$B$12,MATCH(A32,'Дорожная карта'!$A$5:$A$12,0))</f>
        <v>Автоматизация без кода</v>
      </c>
      <c r="E32" s="8" t="s">
        <v>49</v>
      </c>
      <c r="F32" s="9"/>
      <c r="G32" s="4"/>
    </row>
    <row r="33" customFormat="false" ht="15" hidden="false" customHeight="false" outlineLevel="0" collapsed="false">
      <c r="A33" s="4" t="n">
        <v>4</v>
      </c>
      <c r="B33" s="4" t="s">
        <v>25</v>
      </c>
      <c r="C33" s="4" t="s">
        <v>83</v>
      </c>
      <c r="D33" s="4" t="str">
        <f aca="false">INDEX('Дорожная карта'!$B$5:$B$12,MATCH(A33,'Дорожная карта'!$A$5:$A$12,0))</f>
        <v>Интеграции</v>
      </c>
      <c r="E33" s="8" t="s">
        <v>49</v>
      </c>
      <c r="F33" s="9"/>
      <c r="G33" s="4"/>
    </row>
    <row r="34" customFormat="false" ht="15" hidden="false" customHeight="false" outlineLevel="0" collapsed="false">
      <c r="A34" s="4" t="n">
        <v>4</v>
      </c>
      <c r="B34" s="4" t="s">
        <v>25</v>
      </c>
      <c r="C34" s="4" t="s">
        <v>84</v>
      </c>
      <c r="D34" s="4" t="str">
        <f aca="false">INDEX('Дорожная карта'!$B$5:$B$12,MATCH(A34,'Дорожная карта'!$A$5:$A$12,0))</f>
        <v>Интеграции</v>
      </c>
      <c r="E34" s="8" t="s">
        <v>49</v>
      </c>
      <c r="F34" s="9"/>
      <c r="G34" s="4"/>
    </row>
    <row r="35" customFormat="false" ht="15" hidden="false" customHeight="false" outlineLevel="0" collapsed="false">
      <c r="A35" s="4" t="n">
        <v>4</v>
      </c>
      <c r="B35" s="4" t="s">
        <v>25</v>
      </c>
      <c r="C35" s="4" t="s">
        <v>85</v>
      </c>
      <c r="D35" s="4" t="str">
        <f aca="false">INDEX('Дорожная карта'!$B$5:$B$12,MATCH(A35,'Дорожная карта'!$A$5:$A$12,0))</f>
        <v>Интеграции</v>
      </c>
      <c r="E35" s="8" t="s">
        <v>49</v>
      </c>
      <c r="F35" s="9"/>
      <c r="G35" s="4"/>
    </row>
    <row r="36" customFormat="false" ht="15" hidden="false" customHeight="false" outlineLevel="0" collapsed="false">
      <c r="A36" s="4" t="n">
        <v>4</v>
      </c>
      <c r="B36" s="4" t="s">
        <v>25</v>
      </c>
      <c r="C36" s="4" t="s">
        <v>86</v>
      </c>
      <c r="D36" s="4" t="str">
        <f aca="false">INDEX('Дорожная карта'!$B$5:$B$12,MATCH(A36,'Дорожная карта'!$A$5:$A$12,0))</f>
        <v>Интеграции</v>
      </c>
      <c r="E36" s="8" t="s">
        <v>49</v>
      </c>
      <c r="F36" s="9"/>
      <c r="G36" s="4"/>
    </row>
    <row r="37" customFormat="false" ht="15" hidden="false" customHeight="false" outlineLevel="0" collapsed="false">
      <c r="A37" s="4" t="n">
        <v>4</v>
      </c>
      <c r="B37" s="4" t="s">
        <v>25</v>
      </c>
      <c r="C37" s="4" t="s">
        <v>87</v>
      </c>
      <c r="D37" s="4" t="str">
        <f aca="false">INDEX('Дорожная карта'!$B$5:$B$12,MATCH(A37,'Дорожная карта'!$A$5:$A$12,0))</f>
        <v>Интеграции</v>
      </c>
      <c r="E37" s="8" t="s">
        <v>49</v>
      </c>
      <c r="F37" s="9"/>
      <c r="G37" s="4"/>
    </row>
    <row r="38" customFormat="false" ht="15" hidden="false" customHeight="false" outlineLevel="0" collapsed="false">
      <c r="A38" s="4" t="n">
        <v>4</v>
      </c>
      <c r="B38" s="4" t="s">
        <v>25</v>
      </c>
      <c r="C38" s="4" t="s">
        <v>88</v>
      </c>
      <c r="D38" s="4" t="str">
        <f aca="false">INDEX('Дорожная карта'!$B$5:$B$12,MATCH(A38,'Дорожная карта'!$A$5:$A$12,0))</f>
        <v>Интеграции</v>
      </c>
      <c r="E38" s="8" t="s">
        <v>49</v>
      </c>
      <c r="F38" s="9"/>
      <c r="G38" s="4"/>
    </row>
    <row r="39" customFormat="false" ht="15" hidden="false" customHeight="false" outlineLevel="0" collapsed="false">
      <c r="A39" s="4" t="n">
        <v>4</v>
      </c>
      <c r="B39" s="4" t="s">
        <v>25</v>
      </c>
      <c r="C39" s="4" t="s">
        <v>89</v>
      </c>
      <c r="D39" s="4" t="str">
        <f aca="false">INDEX('Дорожная карта'!$B$5:$B$12,MATCH(A39,'Дорожная карта'!$A$5:$A$12,0))</f>
        <v>Интеграции</v>
      </c>
      <c r="E39" s="8" t="s">
        <v>49</v>
      </c>
      <c r="F39" s="9"/>
      <c r="G39" s="4"/>
    </row>
    <row r="40" customFormat="false" ht="15" hidden="false" customHeight="false" outlineLevel="0" collapsed="false">
      <c r="A40" s="4" t="n">
        <v>5</v>
      </c>
      <c r="B40" s="4" t="s">
        <v>90</v>
      </c>
      <c r="C40" s="4" t="s">
        <v>91</v>
      </c>
      <c r="D40" s="4" t="str">
        <f aca="false">INDEX('Дорожная карта'!$B$5:$B$12,MATCH(A40,'Дорожная карта'!$A$5:$A$12,0))</f>
        <v>Разработка (REST API)</v>
      </c>
      <c r="E40" s="8" t="s">
        <v>49</v>
      </c>
      <c r="F40" s="9"/>
      <c r="G40" s="4"/>
    </row>
    <row r="41" customFormat="false" ht="15" hidden="false" customHeight="false" outlineLevel="0" collapsed="false">
      <c r="A41" s="4" t="n">
        <v>5</v>
      </c>
      <c r="B41" s="4" t="s">
        <v>90</v>
      </c>
      <c r="C41" s="4" t="s">
        <v>92</v>
      </c>
      <c r="D41" s="4" t="str">
        <f aca="false">INDEX('Дорожная карта'!$B$5:$B$12,MATCH(A41,'Дорожная карта'!$A$5:$A$12,0))</f>
        <v>Разработка (REST API)</v>
      </c>
      <c r="E41" s="8" t="s">
        <v>49</v>
      </c>
      <c r="F41" s="9"/>
      <c r="G41" s="4"/>
    </row>
    <row r="42" customFormat="false" ht="15" hidden="false" customHeight="false" outlineLevel="0" collapsed="false">
      <c r="A42" s="4" t="n">
        <v>5</v>
      </c>
      <c r="B42" s="4" t="s">
        <v>90</v>
      </c>
      <c r="C42" s="4" t="s">
        <v>93</v>
      </c>
      <c r="D42" s="4" t="str">
        <f aca="false">INDEX('Дорожная карта'!$B$5:$B$12,MATCH(A42,'Дорожная карта'!$A$5:$A$12,0))</f>
        <v>Разработка (REST API)</v>
      </c>
      <c r="E42" s="8" t="s">
        <v>49</v>
      </c>
      <c r="F42" s="9"/>
      <c r="G42" s="4"/>
    </row>
    <row r="43" customFormat="false" ht="15" hidden="false" customHeight="false" outlineLevel="0" collapsed="false">
      <c r="A43" s="4" t="n">
        <v>5</v>
      </c>
      <c r="B43" s="4" t="s">
        <v>90</v>
      </c>
      <c r="C43" s="4" t="s">
        <v>94</v>
      </c>
      <c r="D43" s="4" t="str">
        <f aca="false">INDEX('Дорожная карта'!$B$5:$B$12,MATCH(A43,'Дорожная карта'!$A$5:$A$12,0))</f>
        <v>Разработка (REST API)</v>
      </c>
      <c r="E43" s="8" t="s">
        <v>49</v>
      </c>
      <c r="F43" s="9"/>
      <c r="G43" s="4"/>
    </row>
    <row r="44" customFormat="false" ht="15" hidden="false" customHeight="false" outlineLevel="0" collapsed="false">
      <c r="A44" s="4" t="n">
        <v>5</v>
      </c>
      <c r="B44" s="4" t="s">
        <v>90</v>
      </c>
      <c r="C44" s="4" t="s">
        <v>95</v>
      </c>
      <c r="D44" s="4" t="str">
        <f aca="false">INDEX('Дорожная карта'!$B$5:$B$12,MATCH(A44,'Дорожная карта'!$A$5:$A$12,0))</f>
        <v>Разработка (REST API)</v>
      </c>
      <c r="E44" s="8" t="s">
        <v>49</v>
      </c>
      <c r="F44" s="9"/>
      <c r="G44" s="4"/>
    </row>
    <row r="45" customFormat="false" ht="15" hidden="false" customHeight="false" outlineLevel="0" collapsed="false">
      <c r="A45" s="4" t="n">
        <v>5</v>
      </c>
      <c r="B45" s="4" t="s">
        <v>90</v>
      </c>
      <c r="C45" s="4" t="s">
        <v>96</v>
      </c>
      <c r="D45" s="4" t="str">
        <f aca="false">INDEX('Дорожная карта'!$B$5:$B$12,MATCH(A45,'Дорожная карта'!$A$5:$A$12,0))</f>
        <v>Разработка (REST API)</v>
      </c>
      <c r="E45" s="8" t="s">
        <v>49</v>
      </c>
      <c r="F45" s="9"/>
      <c r="G45" s="4"/>
    </row>
    <row r="46" customFormat="false" ht="15" hidden="false" customHeight="false" outlineLevel="0" collapsed="false">
      <c r="A46" s="4" t="n">
        <v>5</v>
      </c>
      <c r="B46" s="4" t="s">
        <v>90</v>
      </c>
      <c r="C46" s="4" t="s">
        <v>97</v>
      </c>
      <c r="D46" s="4" t="str">
        <f aca="false">INDEX('Дорожная карта'!$B$5:$B$12,MATCH(A46,'Дорожная карта'!$A$5:$A$12,0))</f>
        <v>Разработка (REST API)</v>
      </c>
      <c r="E46" s="8" t="s">
        <v>49</v>
      </c>
      <c r="F46" s="9"/>
      <c r="G46" s="4"/>
    </row>
    <row r="47" customFormat="false" ht="15" hidden="false" customHeight="false" outlineLevel="0" collapsed="false">
      <c r="A47" s="4" t="n">
        <v>5</v>
      </c>
      <c r="B47" s="4" t="s">
        <v>90</v>
      </c>
      <c r="C47" s="4" t="s">
        <v>98</v>
      </c>
      <c r="D47" s="4" t="str">
        <f aca="false">INDEX('Дорожная карта'!$B$5:$B$12,MATCH(A47,'Дорожная карта'!$A$5:$A$12,0))</f>
        <v>Разработка (REST API)</v>
      </c>
      <c r="E47" s="8" t="s">
        <v>49</v>
      </c>
      <c r="F47" s="9"/>
      <c r="G47" s="4"/>
    </row>
    <row r="48" customFormat="false" ht="15" hidden="false" customHeight="false" outlineLevel="0" collapsed="false">
      <c r="A48" s="4" t="n">
        <v>6</v>
      </c>
      <c r="B48" s="4" t="s">
        <v>99</v>
      </c>
      <c r="C48" s="4" t="s">
        <v>100</v>
      </c>
      <c r="D48" s="4" t="str">
        <f aca="false">INDEX('Дорожная карта'!$B$5:$B$12,MATCH(A48,'Дорожная карта'!$A$5:$A$12,0))</f>
        <v>Методология внедрения</v>
      </c>
      <c r="E48" s="8" t="s">
        <v>49</v>
      </c>
      <c r="F48" s="9"/>
      <c r="G48" s="4"/>
    </row>
    <row r="49" customFormat="false" ht="15" hidden="false" customHeight="false" outlineLevel="0" collapsed="false">
      <c r="A49" s="4" t="n">
        <v>6</v>
      </c>
      <c r="B49" s="4" t="s">
        <v>99</v>
      </c>
      <c r="C49" s="4" t="s">
        <v>101</v>
      </c>
      <c r="D49" s="4" t="str">
        <f aca="false">INDEX('Дорожная карта'!$B$5:$B$12,MATCH(A49,'Дорожная карта'!$A$5:$A$12,0))</f>
        <v>Методология внедрения</v>
      </c>
      <c r="E49" s="8" t="s">
        <v>49</v>
      </c>
      <c r="F49" s="9"/>
      <c r="G49" s="4"/>
    </row>
    <row r="50" customFormat="false" ht="15" hidden="false" customHeight="false" outlineLevel="0" collapsed="false">
      <c r="A50" s="4" t="n">
        <v>6</v>
      </c>
      <c r="B50" s="4" t="s">
        <v>99</v>
      </c>
      <c r="C50" s="4" t="s">
        <v>102</v>
      </c>
      <c r="D50" s="4" t="str">
        <f aca="false">INDEX('Дорожная карта'!$B$5:$B$12,MATCH(A50,'Дорожная карта'!$A$5:$A$12,0))</f>
        <v>Методология внедрения</v>
      </c>
      <c r="E50" s="8" t="s">
        <v>49</v>
      </c>
      <c r="F50" s="9"/>
      <c r="G50" s="4"/>
    </row>
    <row r="51" customFormat="false" ht="15" hidden="false" customHeight="false" outlineLevel="0" collapsed="false">
      <c r="A51" s="4" t="n">
        <v>6</v>
      </c>
      <c r="B51" s="4" t="s">
        <v>99</v>
      </c>
      <c r="C51" s="4" t="s">
        <v>103</v>
      </c>
      <c r="D51" s="4" t="str">
        <f aca="false">INDEX('Дорожная карта'!$B$5:$B$12,MATCH(A51,'Дорожная карта'!$A$5:$A$12,0))</f>
        <v>Методология внедрения</v>
      </c>
      <c r="E51" s="8" t="s">
        <v>49</v>
      </c>
      <c r="F51" s="9"/>
      <c r="G51" s="4"/>
    </row>
    <row r="52" customFormat="false" ht="15" hidden="false" customHeight="false" outlineLevel="0" collapsed="false">
      <c r="A52" s="4" t="n">
        <v>6</v>
      </c>
      <c r="B52" s="4" t="s">
        <v>99</v>
      </c>
      <c r="C52" s="4" t="s">
        <v>104</v>
      </c>
      <c r="D52" s="4" t="str">
        <f aca="false">INDEX('Дорожная карта'!$B$5:$B$12,MATCH(A52,'Дорожная карта'!$A$5:$A$12,0))</f>
        <v>Методология внедрения</v>
      </c>
      <c r="E52" s="8" t="s">
        <v>49</v>
      </c>
      <c r="F52" s="9"/>
      <c r="G52" s="4"/>
    </row>
    <row r="53" customFormat="false" ht="15" hidden="false" customHeight="false" outlineLevel="0" collapsed="false">
      <c r="A53" s="4" t="n">
        <v>6</v>
      </c>
      <c r="B53" s="4" t="s">
        <v>99</v>
      </c>
      <c r="C53" s="4" t="s">
        <v>105</v>
      </c>
      <c r="D53" s="4" t="str">
        <f aca="false">INDEX('Дорожная карта'!$B$5:$B$12,MATCH(A53,'Дорожная карта'!$A$5:$A$12,0))</f>
        <v>Методология внедрения</v>
      </c>
      <c r="E53" s="8" t="s">
        <v>49</v>
      </c>
      <c r="F53" s="9"/>
      <c r="G53" s="4"/>
    </row>
    <row r="54" customFormat="false" ht="15" hidden="false" customHeight="false" outlineLevel="0" collapsed="false">
      <c r="A54" s="4" t="n">
        <v>7</v>
      </c>
      <c r="B54" s="4" t="s">
        <v>45</v>
      </c>
      <c r="C54" s="4" t="s">
        <v>106</v>
      </c>
      <c r="D54" s="4" t="str">
        <f aca="false">INDEX('Дорожная карта'!$B$5:$B$12,MATCH(A54,'Дорожная карта'!$A$5:$A$12,0))</f>
        <v>Сертификация и рынок</v>
      </c>
      <c r="E54" s="8" t="s">
        <v>49</v>
      </c>
      <c r="F54" s="9"/>
      <c r="G54" s="4"/>
    </row>
    <row r="55" customFormat="false" ht="15" hidden="false" customHeight="false" outlineLevel="0" collapsed="false">
      <c r="A55" s="4" t="n">
        <v>7</v>
      </c>
      <c r="B55" s="4" t="s">
        <v>45</v>
      </c>
      <c r="C55" s="4" t="s">
        <v>107</v>
      </c>
      <c r="D55" s="4" t="str">
        <f aca="false">INDEX('Дорожная карта'!$B$5:$B$12,MATCH(A55,'Дорожная карта'!$A$5:$A$12,0))</f>
        <v>Сертификация и рынок</v>
      </c>
      <c r="E55" s="8" t="s">
        <v>49</v>
      </c>
      <c r="F55" s="9"/>
      <c r="G55" s="4"/>
    </row>
    <row r="56" customFormat="false" ht="15" hidden="false" customHeight="false" outlineLevel="0" collapsed="false">
      <c r="A56" s="4" t="n">
        <v>7</v>
      </c>
      <c r="B56" s="4" t="s">
        <v>45</v>
      </c>
      <c r="C56" s="4" t="s">
        <v>108</v>
      </c>
      <c r="D56" s="4" t="str">
        <f aca="false">INDEX('Дорожная карта'!$B$5:$B$12,MATCH(A56,'Дорожная карта'!$A$5:$A$12,0))</f>
        <v>Сертификация и рынок</v>
      </c>
      <c r="E56" s="8" t="s">
        <v>49</v>
      </c>
      <c r="F56" s="9"/>
      <c r="G56" s="4"/>
    </row>
    <row r="57" customFormat="false" ht="15" hidden="false" customHeight="false" outlineLevel="0" collapsed="false">
      <c r="A57" s="4" t="n">
        <v>7</v>
      </c>
      <c r="B57" s="4" t="s">
        <v>45</v>
      </c>
      <c r="C57" s="4" t="s">
        <v>109</v>
      </c>
      <c r="D57" s="4" t="str">
        <f aca="false">INDEX('Дорожная карта'!$B$5:$B$12,MATCH(A57,'Дорожная карта'!$A$5:$A$12,0))</f>
        <v>Сертификация и рынок</v>
      </c>
      <c r="E57" s="8" t="s">
        <v>49</v>
      </c>
      <c r="F57" s="9"/>
      <c r="G57" s="4"/>
    </row>
    <row r="58" customFormat="false" ht="15" hidden="false" customHeight="false" outlineLevel="0" collapsed="false">
      <c r="A58" s="4" t="n">
        <v>7</v>
      </c>
      <c r="B58" s="4" t="s">
        <v>45</v>
      </c>
      <c r="C58" s="4" t="s">
        <v>110</v>
      </c>
      <c r="D58" s="4" t="str">
        <f aca="false">INDEX('Дорожная карта'!$B$5:$B$12,MATCH(A58,'Дорожная карта'!$A$5:$A$12,0))</f>
        <v>Сертификация и рынок</v>
      </c>
      <c r="E58" s="8" t="s">
        <v>49</v>
      </c>
      <c r="F58" s="9"/>
      <c r="G58" s="4"/>
    </row>
    <row r="59" customFormat="false" ht="15" hidden="false" customHeight="false" outlineLevel="0" collapsed="false">
      <c r="A59" s="4" t="n">
        <v>7</v>
      </c>
      <c r="B59" s="4" t="s">
        <v>45</v>
      </c>
      <c r="C59" s="4" t="s">
        <v>111</v>
      </c>
      <c r="D59" s="4" t="str">
        <f aca="false">INDEX('Дорожная карта'!$B$5:$B$12,MATCH(A59,'Дорожная карта'!$A$5:$A$12,0))</f>
        <v>Сертификация и рынок</v>
      </c>
      <c r="E59" s="8" t="s">
        <v>49</v>
      </c>
      <c r="F59" s="9"/>
      <c r="G59" s="4"/>
    </row>
    <row r="61" customFormat="false" ht="15" hidden="false" customHeight="false" outlineLevel="0" collapsed="false">
      <c r="A61" s="10" t="s">
        <v>112</v>
      </c>
    </row>
  </sheetData>
  <autoFilter ref="A1:G59"/>
  <conditionalFormatting sqref="E2:E59">
    <cfRule type="cellIs" priority="2" operator="equal" aboveAverage="0" equalAverage="0" bottom="0" percent="0" rank="0" text="" dxfId="4">
      <formula>"Готово"</formula>
    </cfRule>
    <cfRule type="cellIs" priority="3" operator="equal" aboveAverage="0" equalAverage="0" bottom="0" percent="0" rank="0" text="" dxfId="5">
      <formula>"В работе"</formula>
    </cfRule>
  </conditionalFormatting>
  <dataValidations count="1">
    <dataValidation allowBlank="false" errorStyle="stop" operator="between" showDropDown="false" showErrorMessage="false" showInputMessage="false" sqref="E2:E59" type="list">
      <formula1>"Не начато,В работе,Готово"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0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35"/>
  </cols>
  <sheetData>
    <row r="1" customFormat="false" ht="15" hidden="false" customHeight="false" outlineLevel="0" collapsed="false">
      <c r="A1" s="3" t="s">
        <v>113</v>
      </c>
      <c r="B1" s="3" t="s">
        <v>114</v>
      </c>
      <c r="C1" s="3" t="s">
        <v>6</v>
      </c>
      <c r="D1" s="3" t="s">
        <v>45</v>
      </c>
      <c r="E1" s="3" t="s">
        <v>115</v>
      </c>
    </row>
    <row r="2" customFormat="false" ht="15" hidden="false" customHeight="false" outlineLevel="0" collapsed="false">
      <c r="A2" s="11" t="s">
        <v>116</v>
      </c>
      <c r="B2" s="4" t="s">
        <v>117</v>
      </c>
      <c r="C2" s="4" t="s">
        <v>118</v>
      </c>
      <c r="D2" s="8" t="s">
        <v>49</v>
      </c>
      <c r="E2" s="4"/>
    </row>
    <row r="3" customFormat="false" ht="15" hidden="false" customHeight="false" outlineLevel="0" collapsed="false">
      <c r="A3" s="11" t="s">
        <v>119</v>
      </c>
      <c r="B3" s="4" t="s">
        <v>120</v>
      </c>
      <c r="C3" s="4" t="s">
        <v>121</v>
      </c>
      <c r="D3" s="8" t="s">
        <v>49</v>
      </c>
      <c r="E3" s="4"/>
    </row>
    <row r="4" customFormat="false" ht="15" hidden="false" customHeight="false" outlineLevel="0" collapsed="false">
      <c r="A4" s="11" t="s">
        <v>122</v>
      </c>
      <c r="B4" s="4" t="s">
        <v>123</v>
      </c>
      <c r="C4" s="4" t="s">
        <v>124</v>
      </c>
      <c r="D4" s="8" t="s">
        <v>49</v>
      </c>
      <c r="E4" s="4"/>
    </row>
    <row r="5" customFormat="false" ht="15" hidden="false" customHeight="false" outlineLevel="0" collapsed="false">
      <c r="A5" s="11" t="s">
        <v>125</v>
      </c>
      <c r="B5" s="4" t="s">
        <v>126</v>
      </c>
      <c r="C5" s="4" t="s">
        <v>127</v>
      </c>
      <c r="D5" s="8" t="s">
        <v>49</v>
      </c>
      <c r="E5" s="4"/>
    </row>
    <row r="6" customFormat="false" ht="15" hidden="false" customHeight="false" outlineLevel="0" collapsed="false">
      <c r="A6" s="11" t="s">
        <v>128</v>
      </c>
      <c r="B6" s="4" t="s">
        <v>129</v>
      </c>
      <c r="C6" s="4" t="s">
        <v>28</v>
      </c>
      <c r="D6" s="8" t="s">
        <v>49</v>
      </c>
      <c r="E6" s="4"/>
    </row>
    <row r="7" customFormat="false" ht="15" hidden="false" customHeight="false" outlineLevel="0" collapsed="false">
      <c r="A7" s="11" t="s">
        <v>130</v>
      </c>
      <c r="B7" s="4" t="s">
        <v>131</v>
      </c>
      <c r="C7" s="4" t="s">
        <v>32</v>
      </c>
      <c r="D7" s="8" t="s">
        <v>49</v>
      </c>
      <c r="E7" s="4"/>
    </row>
    <row r="8" customFormat="false" ht="15" hidden="false" customHeight="false" outlineLevel="0" collapsed="false">
      <c r="A8" s="11" t="s">
        <v>132</v>
      </c>
      <c r="B8" s="4" t="s">
        <v>133</v>
      </c>
      <c r="C8" s="4" t="s">
        <v>134</v>
      </c>
      <c r="D8" s="8" t="s">
        <v>49</v>
      </c>
      <c r="E8" s="4"/>
    </row>
    <row r="9" customFormat="false" ht="15" hidden="false" customHeight="false" outlineLevel="0" collapsed="false">
      <c r="A9" s="11" t="s">
        <v>135</v>
      </c>
      <c r="B9" s="4" t="s">
        <v>136</v>
      </c>
      <c r="C9" s="4" t="s">
        <v>137</v>
      </c>
      <c r="D9" s="8" t="s">
        <v>49</v>
      </c>
      <c r="E9" s="4"/>
    </row>
  </sheetData>
  <dataValidations count="1">
    <dataValidation allowBlank="false" errorStyle="stop" operator="between" showDropDown="false" showErrorMessage="false" showInputMessage="false" sqref="D2:D9" type="list">
      <formula1>"Не начато,В работе,Готово"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44"/>
  </cols>
  <sheetData>
    <row r="1" customFormat="false" ht="15" hidden="false" customHeight="false" outlineLevel="0" collapsed="false">
      <c r="A1" s="3" t="s">
        <v>138</v>
      </c>
      <c r="B1" s="3" t="s">
        <v>139</v>
      </c>
      <c r="C1" s="3" t="s">
        <v>140</v>
      </c>
    </row>
    <row r="2" customFormat="false" ht="15" hidden="false" customHeight="false" outlineLevel="0" collapsed="false">
      <c r="A2" s="4" t="s">
        <v>141</v>
      </c>
      <c r="B2" s="4" t="s">
        <v>142</v>
      </c>
      <c r="C2" s="4" t="s">
        <v>143</v>
      </c>
    </row>
    <row r="3" customFormat="false" ht="15" hidden="false" customHeight="false" outlineLevel="0" collapsed="false">
      <c r="A3" s="4" t="s">
        <v>141</v>
      </c>
      <c r="B3" s="4" t="s">
        <v>144</v>
      </c>
      <c r="C3" s="4" t="s">
        <v>145</v>
      </c>
    </row>
    <row r="4" customFormat="false" ht="15" hidden="false" customHeight="false" outlineLevel="0" collapsed="false">
      <c r="A4" s="4" t="s">
        <v>141</v>
      </c>
      <c r="B4" s="4" t="s">
        <v>146</v>
      </c>
      <c r="C4" s="4" t="s">
        <v>147</v>
      </c>
    </row>
    <row r="5" customFormat="false" ht="15" hidden="false" customHeight="false" outlineLevel="0" collapsed="false">
      <c r="A5" s="4" t="s">
        <v>141</v>
      </c>
      <c r="B5" s="4" t="s">
        <v>148</v>
      </c>
      <c r="C5" s="4" t="s">
        <v>149</v>
      </c>
    </row>
    <row r="6" customFormat="false" ht="15" hidden="false" customHeight="false" outlineLevel="0" collapsed="false">
      <c r="A6" s="4" t="s">
        <v>141</v>
      </c>
      <c r="B6" s="4" t="s">
        <v>150</v>
      </c>
      <c r="C6" s="4" t="s">
        <v>151</v>
      </c>
    </row>
    <row r="7" customFormat="false" ht="15" hidden="false" customHeight="false" outlineLevel="0" collapsed="false">
      <c r="A7" s="4" t="s">
        <v>152</v>
      </c>
      <c r="B7" s="4" t="s">
        <v>153</v>
      </c>
      <c r="C7" s="4" t="s">
        <v>154</v>
      </c>
    </row>
    <row r="8" customFormat="false" ht="15" hidden="false" customHeight="false" outlineLevel="0" collapsed="false">
      <c r="A8" s="4" t="s">
        <v>152</v>
      </c>
      <c r="B8" s="4" t="s">
        <v>155</v>
      </c>
      <c r="C8" s="4" t="s">
        <v>156</v>
      </c>
    </row>
    <row r="9" customFormat="false" ht="15" hidden="false" customHeight="false" outlineLevel="0" collapsed="false">
      <c r="A9" s="4" t="s">
        <v>152</v>
      </c>
      <c r="B9" s="4" t="s">
        <v>157</v>
      </c>
      <c r="C9" s="4" t="s">
        <v>158</v>
      </c>
    </row>
    <row r="10" customFormat="false" ht="15" hidden="false" customHeight="false" outlineLevel="0" collapsed="false">
      <c r="A10" s="4" t="s">
        <v>152</v>
      </c>
      <c r="B10" s="4" t="s">
        <v>159</v>
      </c>
      <c r="C10" s="4" t="s">
        <v>160</v>
      </c>
    </row>
    <row r="11" customFormat="false" ht="15" hidden="false" customHeight="false" outlineLevel="0" collapsed="false">
      <c r="A11" s="4" t="s">
        <v>161</v>
      </c>
      <c r="B11" s="4" t="s">
        <v>162</v>
      </c>
      <c r="C11" s="4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2026-09-29T09:42:53Z</dcterms:created>
  <dc:creator>openpyxl</dc:creator>
  <dc:description/>
  <dc:language>en-US</dc:language>
  <cp:lastModifiedBy/>
  <dcterms:modified xsi:type="dcterms:W3CDTF">2026-09-29T09:42:53Z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